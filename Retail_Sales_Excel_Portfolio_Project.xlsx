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kita jangid\Downloads\"/>
    </mc:Choice>
  </mc:AlternateContent>
  <xr:revisionPtr revIDLastSave="0" documentId="11_B892635705B6D5AE85B5FE0BE6E504866D6C07B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Master" sheetId="2" r:id="rId2"/>
    <sheet name="Customer_Master" sheetId="3" r:id="rId3"/>
    <sheet name="Pivot_Analysis" sheetId="4" r:id="rId4"/>
    <sheet name="Dashboard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5" l="1"/>
  <c r="G20" i="5"/>
  <c r="G19" i="5"/>
  <c r="G18" i="5"/>
  <c r="G17" i="5"/>
  <c r="G16" i="5"/>
  <c r="G15" i="5"/>
  <c r="L14" i="5"/>
  <c r="G14" i="5"/>
  <c r="A14" i="5"/>
  <c r="L13" i="5"/>
  <c r="G13" i="5"/>
  <c r="A13" i="5"/>
  <c r="L12" i="5"/>
  <c r="G12" i="5"/>
  <c r="D12" i="5"/>
  <c r="A12" i="5"/>
  <c r="L11" i="5"/>
  <c r="G11" i="5"/>
  <c r="D11" i="5"/>
  <c r="A11" i="5"/>
  <c r="L10" i="5"/>
  <c r="G10" i="5"/>
  <c r="D10" i="5"/>
  <c r="A10" i="5"/>
  <c r="A5" i="5"/>
  <c r="Q301" i="1"/>
  <c r="M301" i="1"/>
  <c r="L301" i="1"/>
  <c r="K301" i="1"/>
  <c r="N301" i="1" s="1"/>
  <c r="F301" i="1"/>
  <c r="E301" i="1"/>
  <c r="Q300" i="1"/>
  <c r="M300" i="1"/>
  <c r="L300" i="1"/>
  <c r="K300" i="1"/>
  <c r="N300" i="1" s="1"/>
  <c r="F300" i="1"/>
  <c r="E300" i="1"/>
  <c r="Q299" i="1"/>
  <c r="M299" i="1"/>
  <c r="L299" i="1"/>
  <c r="K299" i="1"/>
  <c r="N299" i="1" s="1"/>
  <c r="F299" i="1"/>
  <c r="E299" i="1"/>
  <c r="Q298" i="1"/>
  <c r="M298" i="1"/>
  <c r="L298" i="1"/>
  <c r="K298" i="1"/>
  <c r="N298" i="1" s="1"/>
  <c r="F298" i="1"/>
  <c r="E298" i="1"/>
  <c r="Q297" i="1"/>
  <c r="M297" i="1"/>
  <c r="L297" i="1"/>
  <c r="K297" i="1"/>
  <c r="N297" i="1" s="1"/>
  <c r="F297" i="1"/>
  <c r="E297" i="1"/>
  <c r="Q296" i="1"/>
  <c r="M296" i="1"/>
  <c r="L296" i="1"/>
  <c r="K296" i="1"/>
  <c r="N296" i="1" s="1"/>
  <c r="F296" i="1"/>
  <c r="E296" i="1"/>
  <c r="Q295" i="1"/>
  <c r="M295" i="1"/>
  <c r="L295" i="1"/>
  <c r="K295" i="1"/>
  <c r="N295" i="1" s="1"/>
  <c r="F295" i="1"/>
  <c r="E295" i="1"/>
  <c r="Q294" i="1"/>
  <c r="M294" i="1"/>
  <c r="L294" i="1"/>
  <c r="K294" i="1"/>
  <c r="N294" i="1" s="1"/>
  <c r="F294" i="1"/>
  <c r="E294" i="1"/>
  <c r="Q293" i="1"/>
  <c r="M293" i="1"/>
  <c r="L293" i="1"/>
  <c r="K293" i="1"/>
  <c r="N293" i="1" s="1"/>
  <c r="F293" i="1"/>
  <c r="E293" i="1"/>
  <c r="Q292" i="1"/>
  <c r="M292" i="1"/>
  <c r="L292" i="1"/>
  <c r="K292" i="1"/>
  <c r="N292" i="1" s="1"/>
  <c r="F292" i="1"/>
  <c r="E292" i="1"/>
  <c r="Q291" i="1"/>
  <c r="M291" i="1"/>
  <c r="L291" i="1"/>
  <c r="K291" i="1"/>
  <c r="N291" i="1" s="1"/>
  <c r="F291" i="1"/>
  <c r="E291" i="1"/>
  <c r="Q290" i="1"/>
  <c r="M290" i="1"/>
  <c r="L290" i="1"/>
  <c r="K290" i="1"/>
  <c r="N290" i="1" s="1"/>
  <c r="F290" i="1"/>
  <c r="E290" i="1"/>
  <c r="Q289" i="1"/>
  <c r="M289" i="1"/>
  <c r="L289" i="1"/>
  <c r="K289" i="1"/>
  <c r="N289" i="1" s="1"/>
  <c r="F289" i="1"/>
  <c r="E289" i="1"/>
  <c r="Q288" i="1"/>
  <c r="M288" i="1"/>
  <c r="L288" i="1"/>
  <c r="K288" i="1"/>
  <c r="N288" i="1" s="1"/>
  <c r="F288" i="1"/>
  <c r="E288" i="1"/>
  <c r="Q287" i="1"/>
  <c r="M287" i="1"/>
  <c r="L287" i="1"/>
  <c r="K287" i="1"/>
  <c r="N287" i="1" s="1"/>
  <c r="F287" i="1"/>
  <c r="E287" i="1"/>
  <c r="Q286" i="1"/>
  <c r="M286" i="1"/>
  <c r="L286" i="1"/>
  <c r="K286" i="1"/>
  <c r="N286" i="1" s="1"/>
  <c r="F286" i="1"/>
  <c r="E286" i="1"/>
  <c r="Q285" i="1"/>
  <c r="M285" i="1"/>
  <c r="L285" i="1"/>
  <c r="K285" i="1"/>
  <c r="N285" i="1" s="1"/>
  <c r="F285" i="1"/>
  <c r="E285" i="1"/>
  <c r="Q284" i="1"/>
  <c r="M284" i="1"/>
  <c r="L284" i="1"/>
  <c r="K284" i="1"/>
  <c r="N284" i="1" s="1"/>
  <c r="F284" i="1"/>
  <c r="E284" i="1"/>
  <c r="Q283" i="1"/>
  <c r="M283" i="1"/>
  <c r="L283" i="1"/>
  <c r="K283" i="1"/>
  <c r="N283" i="1" s="1"/>
  <c r="F283" i="1"/>
  <c r="E283" i="1"/>
  <c r="Q282" i="1"/>
  <c r="M282" i="1"/>
  <c r="L282" i="1"/>
  <c r="K282" i="1"/>
  <c r="N282" i="1" s="1"/>
  <c r="F282" i="1"/>
  <c r="E282" i="1"/>
  <c r="Q281" i="1"/>
  <c r="M281" i="1"/>
  <c r="L281" i="1"/>
  <c r="K281" i="1"/>
  <c r="N281" i="1" s="1"/>
  <c r="F281" i="1"/>
  <c r="E281" i="1"/>
  <c r="Q280" i="1"/>
  <c r="M280" i="1"/>
  <c r="L280" i="1"/>
  <c r="K280" i="1"/>
  <c r="N280" i="1" s="1"/>
  <c r="F280" i="1"/>
  <c r="E280" i="1"/>
  <c r="Q279" i="1"/>
  <c r="M279" i="1"/>
  <c r="L279" i="1"/>
  <c r="K279" i="1"/>
  <c r="N279" i="1" s="1"/>
  <c r="F279" i="1"/>
  <c r="E279" i="1"/>
  <c r="Q278" i="1"/>
  <c r="M278" i="1"/>
  <c r="L278" i="1"/>
  <c r="K278" i="1"/>
  <c r="N278" i="1" s="1"/>
  <c r="F278" i="1"/>
  <c r="E278" i="1"/>
  <c r="Q277" i="1"/>
  <c r="M277" i="1"/>
  <c r="L277" i="1"/>
  <c r="K277" i="1"/>
  <c r="N277" i="1" s="1"/>
  <c r="F277" i="1"/>
  <c r="E277" i="1"/>
  <c r="Q276" i="1"/>
  <c r="M276" i="1"/>
  <c r="L276" i="1"/>
  <c r="K276" i="1"/>
  <c r="N276" i="1" s="1"/>
  <c r="F276" i="1"/>
  <c r="E276" i="1"/>
  <c r="Q275" i="1"/>
  <c r="M275" i="1"/>
  <c r="L275" i="1"/>
  <c r="K275" i="1"/>
  <c r="N275" i="1" s="1"/>
  <c r="F275" i="1"/>
  <c r="E275" i="1"/>
  <c r="Q274" i="1"/>
  <c r="M274" i="1"/>
  <c r="L274" i="1"/>
  <c r="K274" i="1"/>
  <c r="N274" i="1" s="1"/>
  <c r="F274" i="1"/>
  <c r="E274" i="1"/>
  <c r="Q273" i="1"/>
  <c r="M273" i="1"/>
  <c r="L273" i="1"/>
  <c r="K273" i="1"/>
  <c r="N273" i="1" s="1"/>
  <c r="F273" i="1"/>
  <c r="E273" i="1"/>
  <c r="Q272" i="1"/>
  <c r="M272" i="1"/>
  <c r="L272" i="1"/>
  <c r="K272" i="1"/>
  <c r="N272" i="1" s="1"/>
  <c r="F272" i="1"/>
  <c r="E272" i="1"/>
  <c r="Q271" i="1"/>
  <c r="M271" i="1"/>
  <c r="L271" i="1"/>
  <c r="K271" i="1"/>
  <c r="N271" i="1" s="1"/>
  <c r="F271" i="1"/>
  <c r="E271" i="1"/>
  <c r="Q270" i="1"/>
  <c r="M270" i="1"/>
  <c r="L270" i="1"/>
  <c r="K270" i="1"/>
  <c r="N270" i="1" s="1"/>
  <c r="F270" i="1"/>
  <c r="E270" i="1"/>
  <c r="Q269" i="1"/>
  <c r="M269" i="1"/>
  <c r="L269" i="1"/>
  <c r="K269" i="1"/>
  <c r="N269" i="1" s="1"/>
  <c r="F269" i="1"/>
  <c r="E269" i="1"/>
  <c r="Q268" i="1"/>
  <c r="M268" i="1"/>
  <c r="L268" i="1"/>
  <c r="K268" i="1"/>
  <c r="N268" i="1" s="1"/>
  <c r="F268" i="1"/>
  <c r="E268" i="1"/>
  <c r="Q267" i="1"/>
  <c r="M267" i="1"/>
  <c r="L267" i="1"/>
  <c r="K267" i="1"/>
  <c r="N267" i="1" s="1"/>
  <c r="F267" i="1"/>
  <c r="E267" i="1"/>
  <c r="Q266" i="1"/>
  <c r="M266" i="1"/>
  <c r="L266" i="1"/>
  <c r="K266" i="1"/>
  <c r="N266" i="1" s="1"/>
  <c r="F266" i="1"/>
  <c r="E266" i="1"/>
  <c r="Q265" i="1"/>
  <c r="M265" i="1"/>
  <c r="L265" i="1"/>
  <c r="K265" i="1"/>
  <c r="N265" i="1" s="1"/>
  <c r="F265" i="1"/>
  <c r="E265" i="1"/>
  <c r="Q264" i="1"/>
  <c r="M264" i="1"/>
  <c r="L264" i="1"/>
  <c r="K264" i="1"/>
  <c r="N264" i="1" s="1"/>
  <c r="F264" i="1"/>
  <c r="E264" i="1"/>
  <c r="Q263" i="1"/>
  <c r="M263" i="1"/>
  <c r="L263" i="1"/>
  <c r="K263" i="1"/>
  <c r="N263" i="1" s="1"/>
  <c r="F263" i="1"/>
  <c r="E263" i="1"/>
  <c r="Q262" i="1"/>
  <c r="M262" i="1"/>
  <c r="L262" i="1"/>
  <c r="K262" i="1"/>
  <c r="N262" i="1" s="1"/>
  <c r="F262" i="1"/>
  <c r="E262" i="1"/>
  <c r="Q261" i="1"/>
  <c r="M261" i="1"/>
  <c r="L261" i="1"/>
  <c r="K261" i="1"/>
  <c r="N261" i="1" s="1"/>
  <c r="F261" i="1"/>
  <c r="E261" i="1"/>
  <c r="Q260" i="1"/>
  <c r="M260" i="1"/>
  <c r="L260" i="1"/>
  <c r="K260" i="1"/>
  <c r="N260" i="1" s="1"/>
  <c r="F260" i="1"/>
  <c r="E260" i="1"/>
  <c r="Q259" i="1"/>
  <c r="M259" i="1"/>
  <c r="L259" i="1"/>
  <c r="K259" i="1"/>
  <c r="N259" i="1" s="1"/>
  <c r="F259" i="1"/>
  <c r="E259" i="1"/>
  <c r="Q258" i="1"/>
  <c r="M258" i="1"/>
  <c r="L258" i="1"/>
  <c r="K258" i="1"/>
  <c r="N258" i="1" s="1"/>
  <c r="F258" i="1"/>
  <c r="E258" i="1"/>
  <c r="Q257" i="1"/>
  <c r="M257" i="1"/>
  <c r="L257" i="1"/>
  <c r="K257" i="1"/>
  <c r="N257" i="1" s="1"/>
  <c r="F257" i="1"/>
  <c r="E257" i="1"/>
  <c r="Q256" i="1"/>
  <c r="M256" i="1"/>
  <c r="L256" i="1"/>
  <c r="K256" i="1"/>
  <c r="N256" i="1" s="1"/>
  <c r="F256" i="1"/>
  <c r="E256" i="1"/>
  <c r="Q255" i="1"/>
  <c r="M255" i="1"/>
  <c r="L255" i="1"/>
  <c r="K255" i="1"/>
  <c r="N255" i="1" s="1"/>
  <c r="F255" i="1"/>
  <c r="E255" i="1"/>
  <c r="Q254" i="1"/>
  <c r="M254" i="1"/>
  <c r="L254" i="1"/>
  <c r="K254" i="1"/>
  <c r="N254" i="1" s="1"/>
  <c r="F254" i="1"/>
  <c r="E254" i="1"/>
  <c r="Q253" i="1"/>
  <c r="M253" i="1"/>
  <c r="L253" i="1"/>
  <c r="K253" i="1"/>
  <c r="N253" i="1" s="1"/>
  <c r="F253" i="1"/>
  <c r="E253" i="1"/>
  <c r="Q252" i="1"/>
  <c r="M252" i="1"/>
  <c r="L252" i="1"/>
  <c r="K252" i="1"/>
  <c r="N252" i="1" s="1"/>
  <c r="F252" i="1"/>
  <c r="E252" i="1"/>
  <c r="Q251" i="1"/>
  <c r="M251" i="1"/>
  <c r="L251" i="1"/>
  <c r="K251" i="1"/>
  <c r="N251" i="1" s="1"/>
  <c r="F251" i="1"/>
  <c r="E251" i="1"/>
  <c r="Q250" i="1"/>
  <c r="M250" i="1"/>
  <c r="L250" i="1"/>
  <c r="K250" i="1"/>
  <c r="N250" i="1" s="1"/>
  <c r="F250" i="1"/>
  <c r="E250" i="1"/>
  <c r="Q249" i="1"/>
  <c r="M249" i="1"/>
  <c r="L249" i="1"/>
  <c r="K249" i="1"/>
  <c r="N249" i="1" s="1"/>
  <c r="F249" i="1"/>
  <c r="E249" i="1"/>
  <c r="Q248" i="1"/>
  <c r="M248" i="1"/>
  <c r="L248" i="1"/>
  <c r="K248" i="1"/>
  <c r="N248" i="1" s="1"/>
  <c r="F248" i="1"/>
  <c r="E248" i="1"/>
  <c r="Q247" i="1"/>
  <c r="M247" i="1"/>
  <c r="L247" i="1"/>
  <c r="K247" i="1"/>
  <c r="N247" i="1" s="1"/>
  <c r="F247" i="1"/>
  <c r="E247" i="1"/>
  <c r="Q246" i="1"/>
  <c r="M246" i="1"/>
  <c r="L246" i="1"/>
  <c r="K246" i="1"/>
  <c r="N246" i="1" s="1"/>
  <c r="F246" i="1"/>
  <c r="E246" i="1"/>
  <c r="Q245" i="1"/>
  <c r="M245" i="1"/>
  <c r="L245" i="1"/>
  <c r="K245" i="1"/>
  <c r="N245" i="1" s="1"/>
  <c r="F245" i="1"/>
  <c r="E245" i="1"/>
  <c r="Q244" i="1"/>
  <c r="M244" i="1"/>
  <c r="L244" i="1"/>
  <c r="K244" i="1"/>
  <c r="N244" i="1" s="1"/>
  <c r="F244" i="1"/>
  <c r="E244" i="1"/>
  <c r="Q243" i="1"/>
  <c r="M243" i="1"/>
  <c r="L243" i="1"/>
  <c r="K243" i="1"/>
  <c r="N243" i="1" s="1"/>
  <c r="F243" i="1"/>
  <c r="E243" i="1"/>
  <c r="Q242" i="1"/>
  <c r="M242" i="1"/>
  <c r="L242" i="1"/>
  <c r="K242" i="1"/>
  <c r="N242" i="1" s="1"/>
  <c r="F242" i="1"/>
  <c r="E242" i="1"/>
  <c r="Q241" i="1"/>
  <c r="M241" i="1"/>
  <c r="L241" i="1"/>
  <c r="K241" i="1"/>
  <c r="N241" i="1" s="1"/>
  <c r="F241" i="1"/>
  <c r="E241" i="1"/>
  <c r="Q240" i="1"/>
  <c r="M240" i="1"/>
  <c r="L240" i="1"/>
  <c r="K240" i="1"/>
  <c r="N240" i="1" s="1"/>
  <c r="F240" i="1"/>
  <c r="E240" i="1"/>
  <c r="Q239" i="1"/>
  <c r="M239" i="1"/>
  <c r="L239" i="1"/>
  <c r="K239" i="1"/>
  <c r="N239" i="1" s="1"/>
  <c r="F239" i="1"/>
  <c r="E239" i="1"/>
  <c r="Q238" i="1"/>
  <c r="M238" i="1"/>
  <c r="L238" i="1"/>
  <c r="K238" i="1"/>
  <c r="N238" i="1" s="1"/>
  <c r="F238" i="1"/>
  <c r="E238" i="1"/>
  <c r="Q237" i="1"/>
  <c r="M237" i="1"/>
  <c r="L237" i="1"/>
  <c r="K237" i="1"/>
  <c r="N237" i="1" s="1"/>
  <c r="F237" i="1"/>
  <c r="E237" i="1"/>
  <c r="Q236" i="1"/>
  <c r="M236" i="1"/>
  <c r="L236" i="1"/>
  <c r="K236" i="1"/>
  <c r="N236" i="1" s="1"/>
  <c r="F236" i="1"/>
  <c r="E236" i="1"/>
  <c r="Q235" i="1"/>
  <c r="M235" i="1"/>
  <c r="L235" i="1"/>
  <c r="K235" i="1"/>
  <c r="N235" i="1" s="1"/>
  <c r="F235" i="1"/>
  <c r="E235" i="1"/>
  <c r="Q234" i="1"/>
  <c r="M234" i="1"/>
  <c r="L234" i="1"/>
  <c r="K234" i="1"/>
  <c r="N234" i="1" s="1"/>
  <c r="F234" i="1"/>
  <c r="E234" i="1"/>
  <c r="Q233" i="1"/>
  <c r="M233" i="1"/>
  <c r="L233" i="1"/>
  <c r="K233" i="1"/>
  <c r="N233" i="1" s="1"/>
  <c r="F233" i="1"/>
  <c r="E233" i="1"/>
  <c r="Q232" i="1"/>
  <c r="M232" i="1"/>
  <c r="L232" i="1"/>
  <c r="K232" i="1"/>
  <c r="N232" i="1" s="1"/>
  <c r="F232" i="1"/>
  <c r="E232" i="1"/>
  <c r="Q231" i="1"/>
  <c r="M231" i="1"/>
  <c r="L231" i="1"/>
  <c r="K231" i="1"/>
  <c r="N231" i="1" s="1"/>
  <c r="F231" i="1"/>
  <c r="E231" i="1"/>
  <c r="Q230" i="1"/>
  <c r="M230" i="1"/>
  <c r="L230" i="1"/>
  <c r="K230" i="1"/>
  <c r="N230" i="1" s="1"/>
  <c r="F230" i="1"/>
  <c r="E230" i="1"/>
  <c r="Q229" i="1"/>
  <c r="M229" i="1"/>
  <c r="L229" i="1"/>
  <c r="K229" i="1"/>
  <c r="N229" i="1" s="1"/>
  <c r="F229" i="1"/>
  <c r="E229" i="1"/>
  <c r="Q228" i="1"/>
  <c r="M228" i="1"/>
  <c r="L228" i="1"/>
  <c r="K228" i="1"/>
  <c r="N228" i="1" s="1"/>
  <c r="F228" i="1"/>
  <c r="E228" i="1"/>
  <c r="Q227" i="1"/>
  <c r="M227" i="1"/>
  <c r="L227" i="1"/>
  <c r="K227" i="1"/>
  <c r="N227" i="1" s="1"/>
  <c r="F227" i="1"/>
  <c r="E227" i="1"/>
  <c r="Q226" i="1"/>
  <c r="M226" i="1"/>
  <c r="L226" i="1"/>
  <c r="K226" i="1"/>
  <c r="N226" i="1" s="1"/>
  <c r="F226" i="1"/>
  <c r="E226" i="1"/>
  <c r="Q225" i="1"/>
  <c r="M225" i="1"/>
  <c r="L225" i="1"/>
  <c r="K225" i="1"/>
  <c r="N225" i="1" s="1"/>
  <c r="F225" i="1"/>
  <c r="E225" i="1"/>
  <c r="Q224" i="1"/>
  <c r="M224" i="1"/>
  <c r="L224" i="1"/>
  <c r="K224" i="1"/>
  <c r="N224" i="1" s="1"/>
  <c r="F224" i="1"/>
  <c r="E224" i="1"/>
  <c r="Q223" i="1"/>
  <c r="M223" i="1"/>
  <c r="L223" i="1"/>
  <c r="K223" i="1"/>
  <c r="N223" i="1" s="1"/>
  <c r="F223" i="1"/>
  <c r="E223" i="1"/>
  <c r="Q222" i="1"/>
  <c r="M222" i="1"/>
  <c r="L222" i="1"/>
  <c r="K222" i="1"/>
  <c r="N222" i="1" s="1"/>
  <c r="F222" i="1"/>
  <c r="E222" i="1"/>
  <c r="Q221" i="1"/>
  <c r="M221" i="1"/>
  <c r="L221" i="1"/>
  <c r="K221" i="1"/>
  <c r="N221" i="1" s="1"/>
  <c r="F221" i="1"/>
  <c r="E221" i="1"/>
  <c r="Q220" i="1"/>
  <c r="M220" i="1"/>
  <c r="L220" i="1"/>
  <c r="K220" i="1"/>
  <c r="N220" i="1" s="1"/>
  <c r="F220" i="1"/>
  <c r="E220" i="1"/>
  <c r="Q219" i="1"/>
  <c r="M219" i="1"/>
  <c r="L219" i="1"/>
  <c r="K219" i="1"/>
  <c r="N219" i="1" s="1"/>
  <c r="F219" i="1"/>
  <c r="E219" i="1"/>
  <c r="Q218" i="1"/>
  <c r="M218" i="1"/>
  <c r="L218" i="1"/>
  <c r="K218" i="1"/>
  <c r="N218" i="1" s="1"/>
  <c r="F218" i="1"/>
  <c r="E218" i="1"/>
  <c r="Q217" i="1"/>
  <c r="M217" i="1"/>
  <c r="L217" i="1"/>
  <c r="K217" i="1"/>
  <c r="N217" i="1" s="1"/>
  <c r="F217" i="1"/>
  <c r="E217" i="1"/>
  <c r="Q216" i="1"/>
  <c r="M216" i="1"/>
  <c r="L216" i="1"/>
  <c r="K216" i="1"/>
  <c r="N216" i="1" s="1"/>
  <c r="F216" i="1"/>
  <c r="E216" i="1"/>
  <c r="Q215" i="1"/>
  <c r="M215" i="1"/>
  <c r="L215" i="1"/>
  <c r="K215" i="1"/>
  <c r="N215" i="1" s="1"/>
  <c r="F215" i="1"/>
  <c r="E215" i="1"/>
  <c r="Q214" i="1"/>
  <c r="M214" i="1"/>
  <c r="L214" i="1"/>
  <c r="K214" i="1"/>
  <c r="N214" i="1" s="1"/>
  <c r="F214" i="1"/>
  <c r="E214" i="1"/>
  <c r="Q213" i="1"/>
  <c r="M213" i="1"/>
  <c r="L213" i="1"/>
  <c r="K213" i="1"/>
  <c r="N213" i="1" s="1"/>
  <c r="F213" i="1"/>
  <c r="E213" i="1"/>
  <c r="Q212" i="1"/>
  <c r="M212" i="1"/>
  <c r="L212" i="1"/>
  <c r="K212" i="1"/>
  <c r="N212" i="1" s="1"/>
  <c r="F212" i="1"/>
  <c r="E212" i="1"/>
  <c r="Q211" i="1"/>
  <c r="M211" i="1"/>
  <c r="L211" i="1"/>
  <c r="K211" i="1"/>
  <c r="N211" i="1" s="1"/>
  <c r="F211" i="1"/>
  <c r="E211" i="1"/>
  <c r="Q210" i="1"/>
  <c r="M210" i="1"/>
  <c r="L210" i="1"/>
  <c r="K210" i="1"/>
  <c r="N210" i="1" s="1"/>
  <c r="F210" i="1"/>
  <c r="E210" i="1"/>
  <c r="Q209" i="1"/>
  <c r="M209" i="1"/>
  <c r="L209" i="1"/>
  <c r="K209" i="1"/>
  <c r="N209" i="1" s="1"/>
  <c r="F209" i="1"/>
  <c r="E209" i="1"/>
  <c r="Q208" i="1"/>
  <c r="M208" i="1"/>
  <c r="L208" i="1"/>
  <c r="K208" i="1"/>
  <c r="N208" i="1" s="1"/>
  <c r="F208" i="1"/>
  <c r="E208" i="1"/>
  <c r="Q207" i="1"/>
  <c r="M207" i="1"/>
  <c r="L207" i="1"/>
  <c r="K207" i="1"/>
  <c r="N207" i="1" s="1"/>
  <c r="F207" i="1"/>
  <c r="E207" i="1"/>
  <c r="Q206" i="1"/>
  <c r="M206" i="1"/>
  <c r="L206" i="1"/>
  <c r="K206" i="1"/>
  <c r="N206" i="1" s="1"/>
  <c r="F206" i="1"/>
  <c r="E206" i="1"/>
  <c r="Q205" i="1"/>
  <c r="M205" i="1"/>
  <c r="L205" i="1"/>
  <c r="K205" i="1"/>
  <c r="N205" i="1" s="1"/>
  <c r="F205" i="1"/>
  <c r="E205" i="1"/>
  <c r="Q204" i="1"/>
  <c r="M204" i="1"/>
  <c r="L204" i="1"/>
  <c r="K204" i="1"/>
  <c r="N204" i="1" s="1"/>
  <c r="F204" i="1"/>
  <c r="E204" i="1"/>
  <c r="Q203" i="1"/>
  <c r="M203" i="1"/>
  <c r="L203" i="1"/>
  <c r="K203" i="1"/>
  <c r="N203" i="1" s="1"/>
  <c r="F203" i="1"/>
  <c r="E203" i="1"/>
  <c r="Q202" i="1"/>
  <c r="M202" i="1"/>
  <c r="L202" i="1"/>
  <c r="K202" i="1"/>
  <c r="N202" i="1" s="1"/>
  <c r="F202" i="1"/>
  <c r="E202" i="1"/>
  <c r="Q201" i="1"/>
  <c r="M201" i="1"/>
  <c r="L201" i="1"/>
  <c r="K201" i="1"/>
  <c r="N201" i="1" s="1"/>
  <c r="F201" i="1"/>
  <c r="E201" i="1"/>
  <c r="Q200" i="1"/>
  <c r="M200" i="1"/>
  <c r="L200" i="1"/>
  <c r="K200" i="1"/>
  <c r="N200" i="1" s="1"/>
  <c r="F200" i="1"/>
  <c r="E200" i="1"/>
  <c r="Q199" i="1"/>
  <c r="M199" i="1"/>
  <c r="L199" i="1"/>
  <c r="K199" i="1"/>
  <c r="N199" i="1" s="1"/>
  <c r="F199" i="1"/>
  <c r="E199" i="1"/>
  <c r="Q198" i="1"/>
  <c r="M198" i="1"/>
  <c r="L198" i="1"/>
  <c r="K198" i="1"/>
  <c r="N198" i="1" s="1"/>
  <c r="F198" i="1"/>
  <c r="E198" i="1"/>
  <c r="Q197" i="1"/>
  <c r="M197" i="1"/>
  <c r="L197" i="1"/>
  <c r="K197" i="1"/>
  <c r="N197" i="1" s="1"/>
  <c r="F197" i="1"/>
  <c r="E197" i="1"/>
  <c r="Q196" i="1"/>
  <c r="M196" i="1"/>
  <c r="L196" i="1"/>
  <c r="K196" i="1"/>
  <c r="N196" i="1" s="1"/>
  <c r="F196" i="1"/>
  <c r="E196" i="1"/>
  <c r="Q195" i="1"/>
  <c r="M195" i="1"/>
  <c r="L195" i="1"/>
  <c r="K195" i="1"/>
  <c r="N195" i="1" s="1"/>
  <c r="F195" i="1"/>
  <c r="E195" i="1"/>
  <c r="Q194" i="1"/>
  <c r="M194" i="1"/>
  <c r="L194" i="1"/>
  <c r="K194" i="1"/>
  <c r="N194" i="1" s="1"/>
  <c r="F194" i="1"/>
  <c r="E194" i="1"/>
  <c r="Q193" i="1"/>
  <c r="M193" i="1"/>
  <c r="L193" i="1"/>
  <c r="K193" i="1"/>
  <c r="N193" i="1" s="1"/>
  <c r="F193" i="1"/>
  <c r="E193" i="1"/>
  <c r="Q192" i="1"/>
  <c r="M192" i="1"/>
  <c r="L192" i="1"/>
  <c r="K192" i="1"/>
  <c r="N192" i="1" s="1"/>
  <c r="F192" i="1"/>
  <c r="E192" i="1"/>
  <c r="Q191" i="1"/>
  <c r="M191" i="1"/>
  <c r="L191" i="1"/>
  <c r="K191" i="1"/>
  <c r="N191" i="1" s="1"/>
  <c r="F191" i="1"/>
  <c r="E191" i="1"/>
  <c r="Q190" i="1"/>
  <c r="M190" i="1"/>
  <c r="L190" i="1"/>
  <c r="K190" i="1"/>
  <c r="N190" i="1" s="1"/>
  <c r="F190" i="1"/>
  <c r="E190" i="1"/>
  <c r="Q189" i="1"/>
  <c r="M189" i="1"/>
  <c r="L189" i="1"/>
  <c r="K189" i="1"/>
  <c r="N189" i="1" s="1"/>
  <c r="F189" i="1"/>
  <c r="E189" i="1"/>
  <c r="Q188" i="1"/>
  <c r="M188" i="1"/>
  <c r="L188" i="1"/>
  <c r="K188" i="1"/>
  <c r="N188" i="1" s="1"/>
  <c r="F188" i="1"/>
  <c r="E188" i="1"/>
  <c r="Q187" i="1"/>
  <c r="M187" i="1"/>
  <c r="L187" i="1"/>
  <c r="K187" i="1"/>
  <c r="N187" i="1" s="1"/>
  <c r="F187" i="1"/>
  <c r="E187" i="1"/>
  <c r="Q186" i="1"/>
  <c r="M186" i="1"/>
  <c r="L186" i="1"/>
  <c r="K186" i="1"/>
  <c r="N186" i="1" s="1"/>
  <c r="F186" i="1"/>
  <c r="E186" i="1"/>
  <c r="Q185" i="1"/>
  <c r="M185" i="1"/>
  <c r="L185" i="1"/>
  <c r="K185" i="1"/>
  <c r="N185" i="1" s="1"/>
  <c r="F185" i="1"/>
  <c r="E185" i="1"/>
  <c r="Q184" i="1"/>
  <c r="M184" i="1"/>
  <c r="L184" i="1"/>
  <c r="K184" i="1"/>
  <c r="N184" i="1" s="1"/>
  <c r="F184" i="1"/>
  <c r="E184" i="1"/>
  <c r="Q183" i="1"/>
  <c r="M183" i="1"/>
  <c r="L183" i="1"/>
  <c r="K183" i="1"/>
  <c r="N183" i="1" s="1"/>
  <c r="F183" i="1"/>
  <c r="E183" i="1"/>
  <c r="Q182" i="1"/>
  <c r="M182" i="1"/>
  <c r="L182" i="1"/>
  <c r="K182" i="1"/>
  <c r="N182" i="1" s="1"/>
  <c r="F182" i="1"/>
  <c r="E182" i="1"/>
  <c r="Q181" i="1"/>
  <c r="M181" i="1"/>
  <c r="L181" i="1"/>
  <c r="K181" i="1"/>
  <c r="N181" i="1" s="1"/>
  <c r="F181" i="1"/>
  <c r="E181" i="1"/>
  <c r="Q180" i="1"/>
  <c r="M180" i="1"/>
  <c r="L180" i="1"/>
  <c r="K180" i="1"/>
  <c r="N180" i="1" s="1"/>
  <c r="F180" i="1"/>
  <c r="E180" i="1"/>
  <c r="Q179" i="1"/>
  <c r="M179" i="1"/>
  <c r="L179" i="1"/>
  <c r="K179" i="1"/>
  <c r="N179" i="1" s="1"/>
  <c r="F179" i="1"/>
  <c r="E179" i="1"/>
  <c r="Q178" i="1"/>
  <c r="M178" i="1"/>
  <c r="L178" i="1"/>
  <c r="K178" i="1"/>
  <c r="N178" i="1" s="1"/>
  <c r="F178" i="1"/>
  <c r="E178" i="1"/>
  <c r="Q177" i="1"/>
  <c r="M177" i="1"/>
  <c r="L177" i="1"/>
  <c r="K177" i="1"/>
  <c r="N177" i="1" s="1"/>
  <c r="F177" i="1"/>
  <c r="E177" i="1"/>
  <c r="Q176" i="1"/>
  <c r="M176" i="1"/>
  <c r="L176" i="1"/>
  <c r="K176" i="1"/>
  <c r="N176" i="1" s="1"/>
  <c r="F176" i="1"/>
  <c r="E176" i="1"/>
  <c r="Q175" i="1"/>
  <c r="M175" i="1"/>
  <c r="L175" i="1"/>
  <c r="K175" i="1"/>
  <c r="N175" i="1" s="1"/>
  <c r="F175" i="1"/>
  <c r="E175" i="1"/>
  <c r="Q174" i="1"/>
  <c r="M174" i="1"/>
  <c r="L174" i="1"/>
  <c r="K174" i="1"/>
  <c r="N174" i="1" s="1"/>
  <c r="F174" i="1"/>
  <c r="E174" i="1"/>
  <c r="Q173" i="1"/>
  <c r="M173" i="1"/>
  <c r="L173" i="1"/>
  <c r="K173" i="1"/>
  <c r="N173" i="1" s="1"/>
  <c r="F173" i="1"/>
  <c r="E173" i="1"/>
  <c r="Q172" i="1"/>
  <c r="M172" i="1"/>
  <c r="L172" i="1"/>
  <c r="K172" i="1"/>
  <c r="N172" i="1" s="1"/>
  <c r="F172" i="1"/>
  <c r="E172" i="1"/>
  <c r="Q171" i="1"/>
  <c r="M171" i="1"/>
  <c r="L171" i="1"/>
  <c r="K171" i="1"/>
  <c r="N171" i="1" s="1"/>
  <c r="F171" i="1"/>
  <c r="E171" i="1"/>
  <c r="Q170" i="1"/>
  <c r="M170" i="1"/>
  <c r="L170" i="1"/>
  <c r="K170" i="1"/>
  <c r="N170" i="1" s="1"/>
  <c r="F170" i="1"/>
  <c r="E170" i="1"/>
  <c r="Q169" i="1"/>
  <c r="M169" i="1"/>
  <c r="L169" i="1"/>
  <c r="K169" i="1"/>
  <c r="N169" i="1" s="1"/>
  <c r="F169" i="1"/>
  <c r="E169" i="1"/>
  <c r="Q168" i="1"/>
  <c r="M168" i="1"/>
  <c r="L168" i="1"/>
  <c r="K168" i="1"/>
  <c r="N168" i="1" s="1"/>
  <c r="F168" i="1"/>
  <c r="E168" i="1"/>
  <c r="Q167" i="1"/>
  <c r="M167" i="1"/>
  <c r="L167" i="1"/>
  <c r="K167" i="1"/>
  <c r="N167" i="1" s="1"/>
  <c r="F167" i="1"/>
  <c r="E167" i="1"/>
  <c r="Q166" i="1"/>
  <c r="M166" i="1"/>
  <c r="L166" i="1"/>
  <c r="K166" i="1"/>
  <c r="N166" i="1" s="1"/>
  <c r="F166" i="1"/>
  <c r="E166" i="1"/>
  <c r="Q165" i="1"/>
  <c r="M165" i="1"/>
  <c r="L165" i="1"/>
  <c r="K165" i="1"/>
  <c r="N165" i="1" s="1"/>
  <c r="F165" i="1"/>
  <c r="E165" i="1"/>
  <c r="Q164" i="1"/>
  <c r="M164" i="1"/>
  <c r="L164" i="1"/>
  <c r="K164" i="1"/>
  <c r="N164" i="1" s="1"/>
  <c r="F164" i="1"/>
  <c r="E164" i="1"/>
  <c r="Q163" i="1"/>
  <c r="M163" i="1"/>
  <c r="L163" i="1"/>
  <c r="K163" i="1"/>
  <c r="N163" i="1" s="1"/>
  <c r="F163" i="1"/>
  <c r="E163" i="1"/>
  <c r="Q162" i="1"/>
  <c r="M162" i="1"/>
  <c r="L162" i="1"/>
  <c r="K162" i="1"/>
  <c r="N162" i="1" s="1"/>
  <c r="F162" i="1"/>
  <c r="E162" i="1"/>
  <c r="Q161" i="1"/>
  <c r="M161" i="1"/>
  <c r="L161" i="1"/>
  <c r="K161" i="1"/>
  <c r="N161" i="1" s="1"/>
  <c r="F161" i="1"/>
  <c r="E161" i="1"/>
  <c r="Q160" i="1"/>
  <c r="M160" i="1"/>
  <c r="L160" i="1"/>
  <c r="K160" i="1"/>
  <c r="N160" i="1" s="1"/>
  <c r="F160" i="1"/>
  <c r="E160" i="1"/>
  <c r="Q159" i="1"/>
  <c r="M159" i="1"/>
  <c r="L159" i="1"/>
  <c r="K159" i="1"/>
  <c r="N159" i="1" s="1"/>
  <c r="F159" i="1"/>
  <c r="E159" i="1"/>
  <c r="Q158" i="1"/>
  <c r="M158" i="1"/>
  <c r="L158" i="1"/>
  <c r="K158" i="1"/>
  <c r="N158" i="1" s="1"/>
  <c r="F158" i="1"/>
  <c r="E158" i="1"/>
  <c r="Q157" i="1"/>
  <c r="M157" i="1"/>
  <c r="L157" i="1"/>
  <c r="K157" i="1"/>
  <c r="N157" i="1" s="1"/>
  <c r="F157" i="1"/>
  <c r="E157" i="1"/>
  <c r="Q156" i="1"/>
  <c r="M156" i="1"/>
  <c r="L156" i="1"/>
  <c r="K156" i="1"/>
  <c r="N156" i="1" s="1"/>
  <c r="F156" i="1"/>
  <c r="E156" i="1"/>
  <c r="Q155" i="1"/>
  <c r="M155" i="1"/>
  <c r="L155" i="1"/>
  <c r="K155" i="1"/>
  <c r="N155" i="1" s="1"/>
  <c r="F155" i="1"/>
  <c r="E155" i="1"/>
  <c r="Q154" i="1"/>
  <c r="M154" i="1"/>
  <c r="L154" i="1"/>
  <c r="K154" i="1"/>
  <c r="N154" i="1" s="1"/>
  <c r="F154" i="1"/>
  <c r="E154" i="1"/>
  <c r="Q153" i="1"/>
  <c r="M153" i="1"/>
  <c r="L153" i="1"/>
  <c r="K153" i="1"/>
  <c r="N153" i="1" s="1"/>
  <c r="F153" i="1"/>
  <c r="E153" i="1"/>
  <c r="Q152" i="1"/>
  <c r="M152" i="1"/>
  <c r="L152" i="1"/>
  <c r="K152" i="1"/>
  <c r="N152" i="1" s="1"/>
  <c r="F152" i="1"/>
  <c r="E152" i="1"/>
  <c r="Q151" i="1"/>
  <c r="M151" i="1"/>
  <c r="L151" i="1"/>
  <c r="K151" i="1"/>
  <c r="N151" i="1" s="1"/>
  <c r="F151" i="1"/>
  <c r="E151" i="1"/>
  <c r="Q150" i="1"/>
  <c r="M150" i="1"/>
  <c r="L150" i="1"/>
  <c r="K150" i="1"/>
  <c r="N150" i="1" s="1"/>
  <c r="F150" i="1"/>
  <c r="E150" i="1"/>
  <c r="Q149" i="1"/>
  <c r="M149" i="1"/>
  <c r="L149" i="1"/>
  <c r="K149" i="1"/>
  <c r="N149" i="1" s="1"/>
  <c r="F149" i="1"/>
  <c r="E149" i="1"/>
  <c r="Q148" i="1"/>
  <c r="M148" i="1"/>
  <c r="L148" i="1"/>
  <c r="K148" i="1"/>
  <c r="N148" i="1" s="1"/>
  <c r="F148" i="1"/>
  <c r="E148" i="1"/>
  <c r="Q147" i="1"/>
  <c r="M147" i="1"/>
  <c r="L147" i="1"/>
  <c r="K147" i="1"/>
  <c r="N147" i="1" s="1"/>
  <c r="F147" i="1"/>
  <c r="E147" i="1"/>
  <c r="Q146" i="1"/>
  <c r="M146" i="1"/>
  <c r="L146" i="1"/>
  <c r="K146" i="1"/>
  <c r="N146" i="1" s="1"/>
  <c r="F146" i="1"/>
  <c r="E146" i="1"/>
  <c r="Q145" i="1"/>
  <c r="M145" i="1"/>
  <c r="L145" i="1"/>
  <c r="K145" i="1"/>
  <c r="N145" i="1" s="1"/>
  <c r="F145" i="1"/>
  <c r="E145" i="1"/>
  <c r="Q144" i="1"/>
  <c r="M144" i="1"/>
  <c r="L144" i="1"/>
  <c r="K144" i="1"/>
  <c r="N144" i="1" s="1"/>
  <c r="F144" i="1"/>
  <c r="E144" i="1"/>
  <c r="Q143" i="1"/>
  <c r="M143" i="1"/>
  <c r="L143" i="1"/>
  <c r="K143" i="1"/>
  <c r="N143" i="1" s="1"/>
  <c r="F143" i="1"/>
  <c r="E143" i="1"/>
  <c r="Q142" i="1"/>
  <c r="M142" i="1"/>
  <c r="L142" i="1"/>
  <c r="K142" i="1"/>
  <c r="N142" i="1" s="1"/>
  <c r="F142" i="1"/>
  <c r="E142" i="1"/>
  <c r="Q141" i="1"/>
  <c r="M141" i="1"/>
  <c r="L141" i="1"/>
  <c r="K141" i="1"/>
  <c r="N141" i="1" s="1"/>
  <c r="F141" i="1"/>
  <c r="E141" i="1"/>
  <c r="Q140" i="1"/>
  <c r="M140" i="1"/>
  <c r="L140" i="1"/>
  <c r="K140" i="1"/>
  <c r="N140" i="1" s="1"/>
  <c r="F140" i="1"/>
  <c r="E140" i="1"/>
  <c r="Q139" i="1"/>
  <c r="M139" i="1"/>
  <c r="L139" i="1"/>
  <c r="K139" i="1"/>
  <c r="N139" i="1" s="1"/>
  <c r="F139" i="1"/>
  <c r="E139" i="1"/>
  <c r="Q138" i="1"/>
  <c r="M138" i="1"/>
  <c r="L138" i="1"/>
  <c r="K138" i="1"/>
  <c r="N138" i="1" s="1"/>
  <c r="F138" i="1"/>
  <c r="E138" i="1"/>
  <c r="Q137" i="1"/>
  <c r="M137" i="1"/>
  <c r="L137" i="1"/>
  <c r="K137" i="1"/>
  <c r="N137" i="1" s="1"/>
  <c r="F137" i="1"/>
  <c r="E137" i="1"/>
  <c r="Q136" i="1"/>
  <c r="M136" i="1"/>
  <c r="L136" i="1"/>
  <c r="K136" i="1"/>
  <c r="N136" i="1" s="1"/>
  <c r="F136" i="1"/>
  <c r="E136" i="1"/>
  <c r="Q135" i="1"/>
  <c r="M135" i="1"/>
  <c r="L135" i="1"/>
  <c r="K135" i="1"/>
  <c r="N135" i="1" s="1"/>
  <c r="F135" i="1"/>
  <c r="E135" i="1"/>
  <c r="Q134" i="1"/>
  <c r="M134" i="1"/>
  <c r="L134" i="1"/>
  <c r="K134" i="1"/>
  <c r="N134" i="1" s="1"/>
  <c r="F134" i="1"/>
  <c r="E134" i="1"/>
  <c r="Q133" i="1"/>
  <c r="M133" i="1"/>
  <c r="L133" i="1"/>
  <c r="K133" i="1"/>
  <c r="N133" i="1" s="1"/>
  <c r="F133" i="1"/>
  <c r="E133" i="1"/>
  <c r="Q132" i="1"/>
  <c r="M132" i="1"/>
  <c r="L132" i="1"/>
  <c r="K132" i="1"/>
  <c r="N132" i="1" s="1"/>
  <c r="F132" i="1"/>
  <c r="E132" i="1"/>
  <c r="Q131" i="1"/>
  <c r="N131" i="1"/>
  <c r="M131" i="1"/>
  <c r="L131" i="1"/>
  <c r="K131" i="1"/>
  <c r="F131" i="1"/>
  <c r="E131" i="1"/>
  <c r="Q130" i="1"/>
  <c r="M130" i="1"/>
  <c r="L130" i="1"/>
  <c r="K130" i="1"/>
  <c r="N130" i="1" s="1"/>
  <c r="F130" i="1"/>
  <c r="E130" i="1"/>
  <c r="Q129" i="1"/>
  <c r="M129" i="1"/>
  <c r="L129" i="1"/>
  <c r="K129" i="1"/>
  <c r="N129" i="1" s="1"/>
  <c r="F129" i="1"/>
  <c r="E129" i="1"/>
  <c r="Q128" i="1"/>
  <c r="M128" i="1"/>
  <c r="L128" i="1"/>
  <c r="K128" i="1"/>
  <c r="N128" i="1" s="1"/>
  <c r="F128" i="1"/>
  <c r="E128" i="1"/>
  <c r="Q127" i="1"/>
  <c r="M127" i="1"/>
  <c r="L127" i="1"/>
  <c r="K127" i="1"/>
  <c r="N127" i="1" s="1"/>
  <c r="F127" i="1"/>
  <c r="E127" i="1"/>
  <c r="Q126" i="1"/>
  <c r="M126" i="1"/>
  <c r="L126" i="1"/>
  <c r="K126" i="1"/>
  <c r="N126" i="1" s="1"/>
  <c r="F126" i="1"/>
  <c r="E126" i="1"/>
  <c r="Q125" i="1"/>
  <c r="M125" i="1"/>
  <c r="L125" i="1"/>
  <c r="K125" i="1"/>
  <c r="N125" i="1" s="1"/>
  <c r="F125" i="1"/>
  <c r="E125" i="1"/>
  <c r="Q124" i="1"/>
  <c r="M124" i="1"/>
  <c r="L124" i="1"/>
  <c r="K124" i="1"/>
  <c r="N124" i="1" s="1"/>
  <c r="F124" i="1"/>
  <c r="E124" i="1"/>
  <c r="Q123" i="1"/>
  <c r="M123" i="1"/>
  <c r="L123" i="1"/>
  <c r="K123" i="1"/>
  <c r="N123" i="1" s="1"/>
  <c r="F123" i="1"/>
  <c r="E123" i="1"/>
  <c r="Q122" i="1"/>
  <c r="M122" i="1"/>
  <c r="L122" i="1"/>
  <c r="K122" i="1"/>
  <c r="N122" i="1" s="1"/>
  <c r="F122" i="1"/>
  <c r="E122" i="1"/>
  <c r="Q121" i="1"/>
  <c r="M121" i="1"/>
  <c r="L121" i="1"/>
  <c r="K121" i="1"/>
  <c r="N121" i="1" s="1"/>
  <c r="F121" i="1"/>
  <c r="E121" i="1"/>
  <c r="Q120" i="1"/>
  <c r="M120" i="1"/>
  <c r="L120" i="1"/>
  <c r="K120" i="1"/>
  <c r="N120" i="1" s="1"/>
  <c r="F120" i="1"/>
  <c r="E120" i="1"/>
  <c r="Q119" i="1"/>
  <c r="M119" i="1"/>
  <c r="L119" i="1"/>
  <c r="K119" i="1"/>
  <c r="N119" i="1" s="1"/>
  <c r="F119" i="1"/>
  <c r="E119" i="1"/>
  <c r="Q118" i="1"/>
  <c r="M118" i="1"/>
  <c r="L118" i="1"/>
  <c r="K118" i="1"/>
  <c r="N118" i="1" s="1"/>
  <c r="F118" i="1"/>
  <c r="E118" i="1"/>
  <c r="Q117" i="1"/>
  <c r="M117" i="1"/>
  <c r="L117" i="1"/>
  <c r="K117" i="1"/>
  <c r="N117" i="1" s="1"/>
  <c r="F117" i="1"/>
  <c r="E117" i="1"/>
  <c r="Q116" i="1"/>
  <c r="M116" i="1"/>
  <c r="L116" i="1"/>
  <c r="K116" i="1"/>
  <c r="N116" i="1" s="1"/>
  <c r="F116" i="1"/>
  <c r="E116" i="1"/>
  <c r="Q115" i="1"/>
  <c r="M115" i="1"/>
  <c r="L115" i="1"/>
  <c r="K115" i="1"/>
  <c r="N115" i="1" s="1"/>
  <c r="F115" i="1"/>
  <c r="E115" i="1"/>
  <c r="Q114" i="1"/>
  <c r="M114" i="1"/>
  <c r="L114" i="1"/>
  <c r="K114" i="1"/>
  <c r="N114" i="1" s="1"/>
  <c r="F114" i="1"/>
  <c r="E114" i="1"/>
  <c r="Q113" i="1"/>
  <c r="M113" i="1"/>
  <c r="L113" i="1"/>
  <c r="K113" i="1"/>
  <c r="N113" i="1" s="1"/>
  <c r="F113" i="1"/>
  <c r="E113" i="1"/>
  <c r="Q112" i="1"/>
  <c r="M112" i="1"/>
  <c r="L112" i="1"/>
  <c r="K112" i="1"/>
  <c r="N112" i="1" s="1"/>
  <c r="F112" i="1"/>
  <c r="E112" i="1"/>
  <c r="Q111" i="1"/>
  <c r="M111" i="1"/>
  <c r="L111" i="1"/>
  <c r="K111" i="1"/>
  <c r="N111" i="1" s="1"/>
  <c r="F111" i="1"/>
  <c r="E111" i="1"/>
  <c r="Q110" i="1"/>
  <c r="M110" i="1"/>
  <c r="L110" i="1"/>
  <c r="K110" i="1"/>
  <c r="N110" i="1" s="1"/>
  <c r="F110" i="1"/>
  <c r="E110" i="1"/>
  <c r="Q109" i="1"/>
  <c r="M109" i="1"/>
  <c r="L109" i="1"/>
  <c r="K109" i="1"/>
  <c r="N109" i="1" s="1"/>
  <c r="F109" i="1"/>
  <c r="E109" i="1"/>
  <c r="Q108" i="1"/>
  <c r="M108" i="1"/>
  <c r="L108" i="1"/>
  <c r="K108" i="1"/>
  <c r="N108" i="1" s="1"/>
  <c r="F108" i="1"/>
  <c r="E108" i="1"/>
  <c r="Q107" i="1"/>
  <c r="M107" i="1"/>
  <c r="L107" i="1"/>
  <c r="K107" i="1"/>
  <c r="N107" i="1" s="1"/>
  <c r="F107" i="1"/>
  <c r="E107" i="1"/>
  <c r="Q106" i="1"/>
  <c r="M106" i="1"/>
  <c r="L106" i="1"/>
  <c r="K106" i="1"/>
  <c r="N106" i="1" s="1"/>
  <c r="F106" i="1"/>
  <c r="E106" i="1"/>
  <c r="Q105" i="1"/>
  <c r="M105" i="1"/>
  <c r="L105" i="1"/>
  <c r="K105" i="1"/>
  <c r="N105" i="1" s="1"/>
  <c r="F105" i="1"/>
  <c r="E105" i="1"/>
  <c r="Q104" i="1"/>
  <c r="M104" i="1"/>
  <c r="L104" i="1"/>
  <c r="K104" i="1"/>
  <c r="N104" i="1" s="1"/>
  <c r="F104" i="1"/>
  <c r="E104" i="1"/>
  <c r="Q103" i="1"/>
  <c r="M103" i="1"/>
  <c r="L103" i="1"/>
  <c r="K103" i="1"/>
  <c r="N103" i="1" s="1"/>
  <c r="F103" i="1"/>
  <c r="E103" i="1"/>
  <c r="Q102" i="1"/>
  <c r="M102" i="1"/>
  <c r="L102" i="1"/>
  <c r="K102" i="1"/>
  <c r="N102" i="1" s="1"/>
  <c r="F102" i="1"/>
  <c r="E102" i="1"/>
  <c r="Q101" i="1"/>
  <c r="M101" i="1"/>
  <c r="L101" i="1"/>
  <c r="K101" i="1"/>
  <c r="N101" i="1" s="1"/>
  <c r="F101" i="1"/>
  <c r="E101" i="1"/>
  <c r="Q100" i="1"/>
  <c r="M100" i="1"/>
  <c r="L100" i="1"/>
  <c r="K100" i="1"/>
  <c r="N100" i="1" s="1"/>
  <c r="F100" i="1"/>
  <c r="E100" i="1"/>
  <c r="Q99" i="1"/>
  <c r="M99" i="1"/>
  <c r="L99" i="1"/>
  <c r="K99" i="1"/>
  <c r="N99" i="1" s="1"/>
  <c r="F99" i="1"/>
  <c r="E99" i="1"/>
  <c r="Q98" i="1"/>
  <c r="M98" i="1"/>
  <c r="L98" i="1"/>
  <c r="K98" i="1"/>
  <c r="N98" i="1" s="1"/>
  <c r="F98" i="1"/>
  <c r="E98" i="1"/>
  <c r="Q97" i="1"/>
  <c r="M97" i="1"/>
  <c r="L97" i="1"/>
  <c r="K97" i="1"/>
  <c r="N97" i="1" s="1"/>
  <c r="F97" i="1"/>
  <c r="E97" i="1"/>
  <c r="Q96" i="1"/>
  <c r="M96" i="1"/>
  <c r="L96" i="1"/>
  <c r="K96" i="1"/>
  <c r="N96" i="1" s="1"/>
  <c r="F96" i="1"/>
  <c r="E96" i="1"/>
  <c r="Q95" i="1"/>
  <c r="M95" i="1"/>
  <c r="L95" i="1"/>
  <c r="K95" i="1"/>
  <c r="N95" i="1" s="1"/>
  <c r="F95" i="1"/>
  <c r="E95" i="1"/>
  <c r="Q94" i="1"/>
  <c r="M94" i="1"/>
  <c r="L94" i="1"/>
  <c r="K94" i="1"/>
  <c r="N94" i="1" s="1"/>
  <c r="F94" i="1"/>
  <c r="E94" i="1"/>
  <c r="Q93" i="1"/>
  <c r="M93" i="1"/>
  <c r="L93" i="1"/>
  <c r="K93" i="1"/>
  <c r="N93" i="1" s="1"/>
  <c r="F93" i="1"/>
  <c r="E93" i="1"/>
  <c r="Q92" i="1"/>
  <c r="M92" i="1"/>
  <c r="L92" i="1"/>
  <c r="K92" i="1"/>
  <c r="N92" i="1" s="1"/>
  <c r="F92" i="1"/>
  <c r="E92" i="1"/>
  <c r="Q91" i="1"/>
  <c r="M91" i="1"/>
  <c r="L91" i="1"/>
  <c r="K91" i="1"/>
  <c r="N91" i="1" s="1"/>
  <c r="F91" i="1"/>
  <c r="E91" i="1"/>
  <c r="Q90" i="1"/>
  <c r="M90" i="1"/>
  <c r="L90" i="1"/>
  <c r="K90" i="1"/>
  <c r="N90" i="1" s="1"/>
  <c r="F90" i="1"/>
  <c r="E90" i="1"/>
  <c r="Q89" i="1"/>
  <c r="M89" i="1"/>
  <c r="L89" i="1"/>
  <c r="K89" i="1"/>
  <c r="N89" i="1" s="1"/>
  <c r="F89" i="1"/>
  <c r="E89" i="1"/>
  <c r="Q88" i="1"/>
  <c r="M88" i="1"/>
  <c r="L88" i="1"/>
  <c r="K88" i="1"/>
  <c r="N88" i="1" s="1"/>
  <c r="F88" i="1"/>
  <c r="E88" i="1"/>
  <c r="Q87" i="1"/>
  <c r="M87" i="1"/>
  <c r="L87" i="1"/>
  <c r="K87" i="1"/>
  <c r="N87" i="1" s="1"/>
  <c r="F87" i="1"/>
  <c r="E87" i="1"/>
  <c r="Q86" i="1"/>
  <c r="M86" i="1"/>
  <c r="L86" i="1"/>
  <c r="K86" i="1"/>
  <c r="N86" i="1" s="1"/>
  <c r="F86" i="1"/>
  <c r="E86" i="1"/>
  <c r="Q85" i="1"/>
  <c r="M85" i="1"/>
  <c r="L85" i="1"/>
  <c r="K85" i="1"/>
  <c r="N85" i="1" s="1"/>
  <c r="F85" i="1"/>
  <c r="E85" i="1"/>
  <c r="Q84" i="1"/>
  <c r="M84" i="1"/>
  <c r="L84" i="1"/>
  <c r="K84" i="1"/>
  <c r="N84" i="1" s="1"/>
  <c r="F84" i="1"/>
  <c r="E84" i="1"/>
  <c r="Q83" i="1"/>
  <c r="M83" i="1"/>
  <c r="L83" i="1"/>
  <c r="K83" i="1"/>
  <c r="N83" i="1" s="1"/>
  <c r="F83" i="1"/>
  <c r="E83" i="1"/>
  <c r="Q82" i="1"/>
  <c r="M82" i="1"/>
  <c r="L82" i="1"/>
  <c r="K82" i="1"/>
  <c r="N82" i="1" s="1"/>
  <c r="F82" i="1"/>
  <c r="E82" i="1"/>
  <c r="Q81" i="1"/>
  <c r="M81" i="1"/>
  <c r="L81" i="1"/>
  <c r="K81" i="1"/>
  <c r="N81" i="1" s="1"/>
  <c r="F81" i="1"/>
  <c r="E81" i="1"/>
  <c r="Q80" i="1"/>
  <c r="M80" i="1"/>
  <c r="L80" i="1"/>
  <c r="K80" i="1"/>
  <c r="N80" i="1" s="1"/>
  <c r="F80" i="1"/>
  <c r="E80" i="1"/>
  <c r="Q79" i="1"/>
  <c r="M79" i="1"/>
  <c r="L79" i="1"/>
  <c r="K79" i="1"/>
  <c r="N79" i="1" s="1"/>
  <c r="F79" i="1"/>
  <c r="E79" i="1"/>
  <c r="Q78" i="1"/>
  <c r="M78" i="1"/>
  <c r="L78" i="1"/>
  <c r="K78" i="1"/>
  <c r="N78" i="1" s="1"/>
  <c r="F78" i="1"/>
  <c r="E78" i="1"/>
  <c r="Q77" i="1"/>
  <c r="M77" i="1"/>
  <c r="L77" i="1"/>
  <c r="K77" i="1"/>
  <c r="N77" i="1" s="1"/>
  <c r="F77" i="1"/>
  <c r="E77" i="1"/>
  <c r="Q76" i="1"/>
  <c r="M76" i="1"/>
  <c r="L76" i="1"/>
  <c r="K76" i="1"/>
  <c r="N76" i="1" s="1"/>
  <c r="F76" i="1"/>
  <c r="E76" i="1"/>
  <c r="Q75" i="1"/>
  <c r="M75" i="1"/>
  <c r="L75" i="1"/>
  <c r="K75" i="1"/>
  <c r="N75" i="1" s="1"/>
  <c r="F75" i="1"/>
  <c r="E75" i="1"/>
  <c r="Q74" i="1"/>
  <c r="M74" i="1"/>
  <c r="L74" i="1"/>
  <c r="K74" i="1"/>
  <c r="N74" i="1" s="1"/>
  <c r="F74" i="1"/>
  <c r="E74" i="1"/>
  <c r="Q73" i="1"/>
  <c r="M73" i="1"/>
  <c r="L73" i="1"/>
  <c r="K73" i="1"/>
  <c r="N73" i="1" s="1"/>
  <c r="F73" i="1"/>
  <c r="E73" i="1"/>
  <c r="Q72" i="1"/>
  <c r="M72" i="1"/>
  <c r="L72" i="1"/>
  <c r="K72" i="1"/>
  <c r="N72" i="1" s="1"/>
  <c r="F72" i="1"/>
  <c r="E72" i="1"/>
  <c r="Q71" i="1"/>
  <c r="M71" i="1"/>
  <c r="L71" i="1"/>
  <c r="K71" i="1"/>
  <c r="N71" i="1" s="1"/>
  <c r="F71" i="1"/>
  <c r="E71" i="1"/>
  <c r="Q70" i="1"/>
  <c r="M70" i="1"/>
  <c r="L70" i="1"/>
  <c r="K70" i="1"/>
  <c r="N70" i="1" s="1"/>
  <c r="F70" i="1"/>
  <c r="E70" i="1"/>
  <c r="Q69" i="1"/>
  <c r="M69" i="1"/>
  <c r="L69" i="1"/>
  <c r="K69" i="1"/>
  <c r="N69" i="1" s="1"/>
  <c r="F69" i="1"/>
  <c r="E69" i="1"/>
  <c r="Q68" i="1"/>
  <c r="M68" i="1"/>
  <c r="L68" i="1"/>
  <c r="K68" i="1"/>
  <c r="N68" i="1" s="1"/>
  <c r="F68" i="1"/>
  <c r="E68" i="1"/>
  <c r="Q67" i="1"/>
  <c r="M67" i="1"/>
  <c r="L67" i="1"/>
  <c r="K67" i="1"/>
  <c r="N67" i="1" s="1"/>
  <c r="F67" i="1"/>
  <c r="E67" i="1"/>
  <c r="Q66" i="1"/>
  <c r="M66" i="1"/>
  <c r="L66" i="1"/>
  <c r="K66" i="1"/>
  <c r="N66" i="1" s="1"/>
  <c r="F66" i="1"/>
  <c r="E66" i="1"/>
  <c r="Q65" i="1"/>
  <c r="M65" i="1"/>
  <c r="L65" i="1"/>
  <c r="K65" i="1"/>
  <c r="N65" i="1" s="1"/>
  <c r="F65" i="1"/>
  <c r="E65" i="1"/>
  <c r="Q64" i="1"/>
  <c r="M64" i="1"/>
  <c r="L64" i="1"/>
  <c r="K64" i="1"/>
  <c r="N64" i="1" s="1"/>
  <c r="F64" i="1"/>
  <c r="E64" i="1"/>
  <c r="Q63" i="1"/>
  <c r="M63" i="1"/>
  <c r="L63" i="1"/>
  <c r="K63" i="1"/>
  <c r="N63" i="1" s="1"/>
  <c r="F63" i="1"/>
  <c r="E63" i="1"/>
  <c r="Q62" i="1"/>
  <c r="M62" i="1"/>
  <c r="L62" i="1"/>
  <c r="K62" i="1"/>
  <c r="N62" i="1" s="1"/>
  <c r="F62" i="1"/>
  <c r="E62" i="1"/>
  <c r="Q61" i="1"/>
  <c r="M61" i="1"/>
  <c r="L61" i="1"/>
  <c r="K61" i="1"/>
  <c r="N61" i="1" s="1"/>
  <c r="F61" i="1"/>
  <c r="E61" i="1"/>
  <c r="Q60" i="1"/>
  <c r="M60" i="1"/>
  <c r="L60" i="1"/>
  <c r="K60" i="1"/>
  <c r="N60" i="1" s="1"/>
  <c r="F60" i="1"/>
  <c r="E60" i="1"/>
  <c r="Q59" i="1"/>
  <c r="M59" i="1"/>
  <c r="L59" i="1"/>
  <c r="K59" i="1"/>
  <c r="N59" i="1" s="1"/>
  <c r="F59" i="1"/>
  <c r="E59" i="1"/>
  <c r="Q58" i="1"/>
  <c r="M58" i="1"/>
  <c r="L58" i="1"/>
  <c r="K58" i="1"/>
  <c r="N58" i="1" s="1"/>
  <c r="F58" i="1"/>
  <c r="E58" i="1"/>
  <c r="Q57" i="1"/>
  <c r="M57" i="1"/>
  <c r="L57" i="1"/>
  <c r="K57" i="1"/>
  <c r="N57" i="1" s="1"/>
  <c r="F57" i="1"/>
  <c r="E57" i="1"/>
  <c r="Q56" i="1"/>
  <c r="M56" i="1"/>
  <c r="L56" i="1"/>
  <c r="K56" i="1"/>
  <c r="N56" i="1" s="1"/>
  <c r="F56" i="1"/>
  <c r="E56" i="1"/>
  <c r="Q55" i="1"/>
  <c r="M55" i="1"/>
  <c r="L55" i="1"/>
  <c r="K55" i="1"/>
  <c r="N55" i="1" s="1"/>
  <c r="F55" i="1"/>
  <c r="E55" i="1"/>
  <c r="Q54" i="1"/>
  <c r="M54" i="1"/>
  <c r="L54" i="1"/>
  <c r="K54" i="1"/>
  <c r="N54" i="1" s="1"/>
  <c r="F54" i="1"/>
  <c r="E54" i="1"/>
  <c r="Q53" i="1"/>
  <c r="M53" i="1"/>
  <c r="L53" i="1"/>
  <c r="K53" i="1"/>
  <c r="N53" i="1" s="1"/>
  <c r="F53" i="1"/>
  <c r="E53" i="1"/>
  <c r="Q52" i="1"/>
  <c r="M52" i="1"/>
  <c r="L52" i="1"/>
  <c r="K52" i="1"/>
  <c r="N52" i="1" s="1"/>
  <c r="F52" i="1"/>
  <c r="E52" i="1"/>
  <c r="Q51" i="1"/>
  <c r="M51" i="1"/>
  <c r="L51" i="1"/>
  <c r="K51" i="1"/>
  <c r="N51" i="1" s="1"/>
  <c r="F51" i="1"/>
  <c r="E51" i="1"/>
  <c r="Q50" i="1"/>
  <c r="M50" i="1"/>
  <c r="L50" i="1"/>
  <c r="K50" i="1"/>
  <c r="N50" i="1" s="1"/>
  <c r="F50" i="1"/>
  <c r="E50" i="1"/>
  <c r="Q49" i="1"/>
  <c r="M49" i="1"/>
  <c r="L49" i="1"/>
  <c r="K49" i="1"/>
  <c r="N49" i="1" s="1"/>
  <c r="F49" i="1"/>
  <c r="E49" i="1"/>
  <c r="Q48" i="1"/>
  <c r="M48" i="1"/>
  <c r="L48" i="1"/>
  <c r="K48" i="1"/>
  <c r="N48" i="1" s="1"/>
  <c r="F48" i="1"/>
  <c r="E48" i="1"/>
  <c r="Q47" i="1"/>
  <c r="M47" i="1"/>
  <c r="L47" i="1"/>
  <c r="K47" i="1"/>
  <c r="N47" i="1" s="1"/>
  <c r="F47" i="1"/>
  <c r="E47" i="1"/>
  <c r="Q46" i="1"/>
  <c r="M46" i="1"/>
  <c r="L46" i="1"/>
  <c r="K46" i="1"/>
  <c r="N46" i="1" s="1"/>
  <c r="F46" i="1"/>
  <c r="E46" i="1"/>
  <c r="Q45" i="1"/>
  <c r="M45" i="1"/>
  <c r="L45" i="1"/>
  <c r="K45" i="1"/>
  <c r="N45" i="1" s="1"/>
  <c r="F45" i="1"/>
  <c r="E45" i="1"/>
  <c r="Q44" i="1"/>
  <c r="M44" i="1"/>
  <c r="L44" i="1"/>
  <c r="K44" i="1"/>
  <c r="N44" i="1" s="1"/>
  <c r="F44" i="1"/>
  <c r="E44" i="1"/>
  <c r="Q43" i="1"/>
  <c r="M43" i="1"/>
  <c r="L43" i="1"/>
  <c r="K43" i="1"/>
  <c r="N43" i="1" s="1"/>
  <c r="F43" i="1"/>
  <c r="E43" i="1"/>
  <c r="Q42" i="1"/>
  <c r="M42" i="1"/>
  <c r="L42" i="1"/>
  <c r="K42" i="1"/>
  <c r="N42" i="1" s="1"/>
  <c r="F42" i="1"/>
  <c r="E42" i="1"/>
  <c r="Q41" i="1"/>
  <c r="M41" i="1"/>
  <c r="L41" i="1"/>
  <c r="K41" i="1"/>
  <c r="N41" i="1" s="1"/>
  <c r="F41" i="1"/>
  <c r="E41" i="1"/>
  <c r="Q40" i="1"/>
  <c r="M40" i="1"/>
  <c r="L40" i="1"/>
  <c r="K40" i="1"/>
  <c r="N40" i="1" s="1"/>
  <c r="F40" i="1"/>
  <c r="E40" i="1"/>
  <c r="Q39" i="1"/>
  <c r="M39" i="1"/>
  <c r="L39" i="1"/>
  <c r="K39" i="1"/>
  <c r="N39" i="1" s="1"/>
  <c r="F39" i="1"/>
  <c r="E39" i="1"/>
  <c r="Q38" i="1"/>
  <c r="M38" i="1"/>
  <c r="L38" i="1"/>
  <c r="K38" i="1"/>
  <c r="N38" i="1" s="1"/>
  <c r="F38" i="1"/>
  <c r="E38" i="1"/>
  <c r="Q37" i="1"/>
  <c r="M37" i="1"/>
  <c r="L37" i="1"/>
  <c r="K37" i="1"/>
  <c r="N37" i="1" s="1"/>
  <c r="F37" i="1"/>
  <c r="E37" i="1"/>
  <c r="Q36" i="1"/>
  <c r="M36" i="1"/>
  <c r="L36" i="1"/>
  <c r="K36" i="1"/>
  <c r="N36" i="1" s="1"/>
  <c r="F36" i="1"/>
  <c r="E36" i="1"/>
  <c r="Q35" i="1"/>
  <c r="M35" i="1"/>
  <c r="L35" i="1"/>
  <c r="K35" i="1"/>
  <c r="N35" i="1" s="1"/>
  <c r="F35" i="1"/>
  <c r="E35" i="1"/>
  <c r="Q34" i="1"/>
  <c r="M34" i="1"/>
  <c r="L34" i="1"/>
  <c r="K34" i="1"/>
  <c r="N34" i="1" s="1"/>
  <c r="F34" i="1"/>
  <c r="E34" i="1"/>
  <c r="Q33" i="1"/>
  <c r="M33" i="1"/>
  <c r="L33" i="1"/>
  <c r="K33" i="1"/>
  <c r="N33" i="1" s="1"/>
  <c r="F33" i="1"/>
  <c r="E33" i="1"/>
  <c r="Q32" i="1"/>
  <c r="M32" i="1"/>
  <c r="L32" i="1"/>
  <c r="K32" i="1"/>
  <c r="N32" i="1" s="1"/>
  <c r="F32" i="1"/>
  <c r="E32" i="1"/>
  <c r="Q31" i="1"/>
  <c r="M31" i="1"/>
  <c r="L31" i="1"/>
  <c r="K31" i="1"/>
  <c r="N31" i="1" s="1"/>
  <c r="F31" i="1"/>
  <c r="E31" i="1"/>
  <c r="Q30" i="1"/>
  <c r="M30" i="1"/>
  <c r="L30" i="1"/>
  <c r="K30" i="1"/>
  <c r="N30" i="1" s="1"/>
  <c r="F30" i="1"/>
  <c r="E30" i="1"/>
  <c r="Q29" i="1"/>
  <c r="M29" i="1"/>
  <c r="L29" i="1"/>
  <c r="K29" i="1"/>
  <c r="N29" i="1" s="1"/>
  <c r="F29" i="1"/>
  <c r="E29" i="1"/>
  <c r="Q28" i="1"/>
  <c r="M28" i="1"/>
  <c r="L28" i="1"/>
  <c r="K28" i="1"/>
  <c r="N28" i="1" s="1"/>
  <c r="F28" i="1"/>
  <c r="E28" i="1"/>
  <c r="Q27" i="1"/>
  <c r="M27" i="1"/>
  <c r="L27" i="1"/>
  <c r="K27" i="1"/>
  <c r="N27" i="1" s="1"/>
  <c r="F27" i="1"/>
  <c r="E27" i="1"/>
  <c r="Q26" i="1"/>
  <c r="M26" i="1"/>
  <c r="L26" i="1"/>
  <c r="K26" i="1"/>
  <c r="N26" i="1" s="1"/>
  <c r="F26" i="1"/>
  <c r="E26" i="1"/>
  <c r="Q25" i="1"/>
  <c r="M25" i="1"/>
  <c r="L25" i="1"/>
  <c r="K25" i="1"/>
  <c r="N25" i="1" s="1"/>
  <c r="F25" i="1"/>
  <c r="E25" i="1"/>
  <c r="Q24" i="1"/>
  <c r="M24" i="1"/>
  <c r="L24" i="1"/>
  <c r="K24" i="1"/>
  <c r="N24" i="1" s="1"/>
  <c r="F24" i="1"/>
  <c r="E24" i="1"/>
  <c r="Q23" i="1"/>
  <c r="M23" i="1"/>
  <c r="L23" i="1"/>
  <c r="K23" i="1"/>
  <c r="N23" i="1" s="1"/>
  <c r="F23" i="1"/>
  <c r="E23" i="1"/>
  <c r="Q22" i="1"/>
  <c r="M22" i="1"/>
  <c r="L22" i="1"/>
  <c r="K22" i="1"/>
  <c r="N22" i="1" s="1"/>
  <c r="F22" i="1"/>
  <c r="E22" i="1"/>
  <c r="Q21" i="1"/>
  <c r="M21" i="1"/>
  <c r="L21" i="1"/>
  <c r="K21" i="1"/>
  <c r="N21" i="1" s="1"/>
  <c r="F21" i="1"/>
  <c r="E21" i="1"/>
  <c r="Q20" i="1"/>
  <c r="M20" i="1"/>
  <c r="L20" i="1"/>
  <c r="K20" i="1"/>
  <c r="N20" i="1" s="1"/>
  <c r="F20" i="1"/>
  <c r="E20" i="1"/>
  <c r="Q19" i="1"/>
  <c r="M19" i="1"/>
  <c r="L19" i="1"/>
  <c r="K19" i="1"/>
  <c r="N19" i="1" s="1"/>
  <c r="F19" i="1"/>
  <c r="E19" i="1"/>
  <c r="Q18" i="1"/>
  <c r="M18" i="1"/>
  <c r="L18" i="1"/>
  <c r="K18" i="1"/>
  <c r="N18" i="1" s="1"/>
  <c r="F18" i="1"/>
  <c r="E18" i="1"/>
  <c r="Q17" i="1"/>
  <c r="M17" i="1"/>
  <c r="L17" i="1"/>
  <c r="K17" i="1"/>
  <c r="N17" i="1" s="1"/>
  <c r="F17" i="1"/>
  <c r="E17" i="1"/>
  <c r="Q16" i="1"/>
  <c r="M16" i="1"/>
  <c r="L16" i="1"/>
  <c r="K16" i="1"/>
  <c r="N16" i="1" s="1"/>
  <c r="F16" i="1"/>
  <c r="E16" i="1"/>
  <c r="Q15" i="1"/>
  <c r="M15" i="1"/>
  <c r="L15" i="1"/>
  <c r="K15" i="1"/>
  <c r="N15" i="1" s="1"/>
  <c r="F15" i="1"/>
  <c r="E15" i="1"/>
  <c r="Q14" i="1"/>
  <c r="M14" i="1"/>
  <c r="L14" i="1"/>
  <c r="K14" i="1"/>
  <c r="N14" i="1" s="1"/>
  <c r="F14" i="1"/>
  <c r="E14" i="1"/>
  <c r="Q13" i="1"/>
  <c r="M13" i="1"/>
  <c r="L13" i="1"/>
  <c r="K13" i="1"/>
  <c r="N13" i="1" s="1"/>
  <c r="F13" i="1"/>
  <c r="E13" i="1"/>
  <c r="Q12" i="1"/>
  <c r="M12" i="1"/>
  <c r="L12" i="1"/>
  <c r="K12" i="1"/>
  <c r="N12" i="1" s="1"/>
  <c r="F12" i="1"/>
  <c r="E12" i="1"/>
  <c r="Q11" i="1"/>
  <c r="M11" i="1"/>
  <c r="L11" i="1"/>
  <c r="K11" i="1"/>
  <c r="N11" i="1" s="1"/>
  <c r="F11" i="1"/>
  <c r="E11" i="1"/>
  <c r="Q10" i="1"/>
  <c r="M10" i="1"/>
  <c r="L10" i="1"/>
  <c r="K10" i="1"/>
  <c r="N10" i="1" s="1"/>
  <c r="F10" i="1"/>
  <c r="E10" i="1"/>
  <c r="Q9" i="1"/>
  <c r="M9" i="1"/>
  <c r="L9" i="1"/>
  <c r="K9" i="1"/>
  <c r="N9" i="1" s="1"/>
  <c r="F9" i="1"/>
  <c r="E9" i="1"/>
  <c r="Q8" i="1"/>
  <c r="M8" i="1"/>
  <c r="L8" i="1"/>
  <c r="K8" i="1"/>
  <c r="N8" i="1" s="1"/>
  <c r="F8" i="1"/>
  <c r="E8" i="1"/>
  <c r="Q7" i="1"/>
  <c r="M7" i="1"/>
  <c r="L7" i="1"/>
  <c r="K7" i="1"/>
  <c r="N7" i="1" s="1"/>
  <c r="F7" i="1"/>
  <c r="E7" i="1"/>
  <c r="Q6" i="1"/>
  <c r="M6" i="1"/>
  <c r="L6" i="1"/>
  <c r="K6" i="1"/>
  <c r="N6" i="1" s="1"/>
  <c r="F6" i="1"/>
  <c r="E6" i="1"/>
  <c r="Q5" i="1"/>
  <c r="M5" i="1"/>
  <c r="L5" i="1"/>
  <c r="K5" i="1"/>
  <c r="N5" i="1" s="1"/>
  <c r="F5" i="1"/>
  <c r="E5" i="1"/>
  <c r="Q4" i="1"/>
  <c r="M4" i="1"/>
  <c r="L4" i="1"/>
  <c r="K4" i="1"/>
  <c r="N4" i="1" s="1"/>
  <c r="F4" i="1"/>
  <c r="E4" i="1"/>
  <c r="Q3" i="1"/>
  <c r="M3" i="1"/>
  <c r="L3" i="1"/>
  <c r="K3" i="1"/>
  <c r="N3" i="1" s="1"/>
  <c r="F3" i="1"/>
  <c r="E3" i="1"/>
  <c r="Q2" i="1"/>
  <c r="M2" i="1"/>
  <c r="L2" i="1"/>
  <c r="K2" i="1"/>
  <c r="N2" i="1" s="1"/>
  <c r="F2" i="1"/>
  <c r="E2" i="1"/>
  <c r="O301" i="1" l="1"/>
  <c r="P301" i="1" s="1"/>
  <c r="R301" i="1" s="1"/>
  <c r="S301" i="1" s="1"/>
  <c r="O300" i="1"/>
  <c r="P300" i="1"/>
  <c r="R300" i="1" s="1"/>
  <c r="S300" i="1" s="1"/>
  <c r="O299" i="1"/>
  <c r="P299" i="1" s="1"/>
  <c r="R299" i="1" s="1"/>
  <c r="S299" i="1" s="1"/>
  <c r="O298" i="1"/>
  <c r="P298" i="1"/>
  <c r="R298" i="1" s="1"/>
  <c r="S298" i="1" s="1"/>
  <c r="O297" i="1"/>
  <c r="P297" i="1"/>
  <c r="R297" i="1" s="1"/>
  <c r="S297" i="1" s="1"/>
  <c r="O296" i="1"/>
  <c r="P296" i="1" s="1"/>
  <c r="R296" i="1" s="1"/>
  <c r="S296" i="1" s="1"/>
  <c r="O295" i="1"/>
  <c r="P295" i="1" s="1"/>
  <c r="R295" i="1" s="1"/>
  <c r="S295" i="1" s="1"/>
  <c r="O294" i="1"/>
  <c r="P294" i="1" s="1"/>
  <c r="R294" i="1" s="1"/>
  <c r="S294" i="1" s="1"/>
  <c r="O293" i="1"/>
  <c r="P293" i="1"/>
  <c r="R293" i="1" s="1"/>
  <c r="S293" i="1" s="1"/>
  <c r="O292" i="1"/>
  <c r="P292" i="1"/>
  <c r="R292" i="1" s="1"/>
  <c r="S292" i="1" s="1"/>
  <c r="O291" i="1"/>
  <c r="P291" i="1"/>
  <c r="R291" i="1" s="1"/>
  <c r="S291" i="1" s="1"/>
  <c r="O290" i="1"/>
  <c r="P290" i="1"/>
  <c r="R290" i="1" s="1"/>
  <c r="S290" i="1" s="1"/>
  <c r="O289" i="1"/>
  <c r="P289" i="1" s="1"/>
  <c r="R289" i="1" s="1"/>
  <c r="S289" i="1" s="1"/>
  <c r="O288" i="1"/>
  <c r="P288" i="1"/>
  <c r="R288" i="1" s="1"/>
  <c r="S288" i="1" s="1"/>
  <c r="O287" i="1"/>
  <c r="P287" i="1" s="1"/>
  <c r="R287" i="1" s="1"/>
  <c r="S287" i="1" s="1"/>
  <c r="O286" i="1"/>
  <c r="P286" i="1"/>
  <c r="R286" i="1" s="1"/>
  <c r="S286" i="1" s="1"/>
  <c r="O285" i="1"/>
  <c r="P285" i="1"/>
  <c r="R285" i="1" s="1"/>
  <c r="S285" i="1" s="1"/>
  <c r="O284" i="1"/>
  <c r="P284" i="1"/>
  <c r="R284" i="1" s="1"/>
  <c r="S284" i="1" s="1"/>
  <c r="O283" i="1"/>
  <c r="P283" i="1"/>
  <c r="R283" i="1" s="1"/>
  <c r="S283" i="1" s="1"/>
  <c r="O282" i="1"/>
  <c r="P282" i="1"/>
  <c r="R282" i="1" s="1"/>
  <c r="S282" i="1" s="1"/>
  <c r="O281" i="1"/>
  <c r="P281" i="1"/>
  <c r="R281" i="1" s="1"/>
  <c r="S281" i="1" s="1"/>
  <c r="O280" i="1"/>
  <c r="P280" i="1"/>
  <c r="R280" i="1" s="1"/>
  <c r="S280" i="1" s="1"/>
  <c r="O279" i="1"/>
  <c r="P279" i="1"/>
  <c r="R279" i="1" s="1"/>
  <c r="S279" i="1" s="1"/>
  <c r="O278" i="1"/>
  <c r="P278" i="1"/>
  <c r="R278" i="1" s="1"/>
  <c r="S278" i="1" s="1"/>
  <c r="O277" i="1"/>
  <c r="P277" i="1"/>
  <c r="R277" i="1" s="1"/>
  <c r="S277" i="1" s="1"/>
  <c r="O276" i="1"/>
  <c r="P276" i="1"/>
  <c r="R276" i="1" s="1"/>
  <c r="S276" i="1" s="1"/>
  <c r="O275" i="1"/>
  <c r="P275" i="1"/>
  <c r="R275" i="1" s="1"/>
  <c r="S275" i="1" s="1"/>
  <c r="O274" i="1"/>
  <c r="P274" i="1"/>
  <c r="R274" i="1" s="1"/>
  <c r="S274" i="1" s="1"/>
  <c r="O273" i="1"/>
  <c r="P273" i="1"/>
  <c r="R273" i="1" s="1"/>
  <c r="S273" i="1" s="1"/>
  <c r="O272" i="1"/>
  <c r="P272" i="1"/>
  <c r="R272" i="1" s="1"/>
  <c r="S272" i="1" s="1"/>
  <c r="O271" i="1"/>
  <c r="P271" i="1"/>
  <c r="R271" i="1" s="1"/>
  <c r="S271" i="1" s="1"/>
  <c r="O270" i="1"/>
  <c r="P270" i="1"/>
  <c r="R270" i="1" s="1"/>
  <c r="S270" i="1" s="1"/>
  <c r="O269" i="1"/>
  <c r="P269" i="1"/>
  <c r="R269" i="1" s="1"/>
  <c r="S269" i="1" s="1"/>
  <c r="O268" i="1"/>
  <c r="P268" i="1"/>
  <c r="R268" i="1" s="1"/>
  <c r="S268" i="1" s="1"/>
  <c r="O267" i="1"/>
  <c r="P267" i="1" s="1"/>
  <c r="R267" i="1" s="1"/>
  <c r="S267" i="1" s="1"/>
  <c r="O266" i="1"/>
  <c r="P266" i="1" s="1"/>
  <c r="R266" i="1" s="1"/>
  <c r="S266" i="1" s="1"/>
  <c r="O265" i="1"/>
  <c r="P265" i="1"/>
  <c r="R265" i="1" s="1"/>
  <c r="S265" i="1" s="1"/>
  <c r="O264" i="1"/>
  <c r="P264" i="1"/>
  <c r="R264" i="1" s="1"/>
  <c r="S264" i="1" s="1"/>
  <c r="O263" i="1"/>
  <c r="P263" i="1"/>
  <c r="R263" i="1" s="1"/>
  <c r="S263" i="1" s="1"/>
  <c r="O262" i="1"/>
  <c r="P262" i="1" s="1"/>
  <c r="R262" i="1" s="1"/>
  <c r="S262" i="1" s="1"/>
  <c r="I6" i="4"/>
  <c r="I7" i="4"/>
  <c r="I5" i="4"/>
  <c r="O261" i="1"/>
  <c r="P261" i="1" s="1"/>
  <c r="R261" i="1" s="1"/>
  <c r="S261" i="1" s="1"/>
  <c r="M5" i="4"/>
  <c r="M7" i="4"/>
  <c r="M6" i="4"/>
  <c r="D8" i="4"/>
  <c r="D9" i="4"/>
  <c r="D6" i="4"/>
  <c r="D7" i="4"/>
  <c r="D5" i="4"/>
  <c r="O260" i="1"/>
  <c r="P260" i="1"/>
  <c r="R260" i="1" s="1"/>
  <c r="S260" i="1" s="1"/>
  <c r="O259" i="1"/>
  <c r="P259" i="1"/>
  <c r="R259" i="1" s="1"/>
  <c r="S259" i="1" s="1"/>
  <c r="O258" i="1"/>
  <c r="P258" i="1"/>
  <c r="R258" i="1" s="1"/>
  <c r="S258" i="1" s="1"/>
  <c r="O257" i="1"/>
  <c r="P257" i="1"/>
  <c r="R257" i="1" s="1"/>
  <c r="S257" i="1" s="1"/>
  <c r="O256" i="1"/>
  <c r="P256" i="1"/>
  <c r="R256" i="1" s="1"/>
  <c r="S256" i="1" s="1"/>
  <c r="O255" i="1"/>
  <c r="P255" i="1" s="1"/>
  <c r="R255" i="1" s="1"/>
  <c r="S255" i="1" s="1"/>
  <c r="O254" i="1"/>
  <c r="P254" i="1"/>
  <c r="R254" i="1" s="1"/>
  <c r="S254" i="1" s="1"/>
  <c r="O253" i="1"/>
  <c r="P253" i="1"/>
  <c r="R253" i="1" s="1"/>
  <c r="S253" i="1" s="1"/>
  <c r="O252" i="1"/>
  <c r="P252" i="1"/>
  <c r="R252" i="1" s="1"/>
  <c r="S252" i="1" s="1"/>
  <c r="O251" i="1"/>
  <c r="P251" i="1"/>
  <c r="R251" i="1" s="1"/>
  <c r="S251" i="1" s="1"/>
  <c r="O250" i="1"/>
  <c r="P250" i="1"/>
  <c r="R250" i="1" s="1"/>
  <c r="S250" i="1" s="1"/>
  <c r="O249" i="1"/>
  <c r="P249" i="1"/>
  <c r="R249" i="1" s="1"/>
  <c r="S249" i="1" s="1"/>
  <c r="O248" i="1"/>
  <c r="P248" i="1"/>
  <c r="R248" i="1" s="1"/>
  <c r="S248" i="1" s="1"/>
  <c r="O247" i="1"/>
  <c r="P247" i="1"/>
  <c r="R247" i="1" s="1"/>
  <c r="S247" i="1" s="1"/>
  <c r="O246" i="1"/>
  <c r="P246" i="1"/>
  <c r="R246" i="1" s="1"/>
  <c r="S246" i="1" s="1"/>
  <c r="O245" i="1"/>
  <c r="P245" i="1"/>
  <c r="R245" i="1" s="1"/>
  <c r="S245" i="1" s="1"/>
  <c r="O244" i="1"/>
  <c r="P244" i="1"/>
  <c r="R244" i="1" s="1"/>
  <c r="S244" i="1" s="1"/>
  <c r="O243" i="1"/>
  <c r="P243" i="1" s="1"/>
  <c r="R243" i="1" s="1"/>
  <c r="S243" i="1" s="1"/>
  <c r="O242" i="1"/>
  <c r="P242" i="1"/>
  <c r="R242" i="1" s="1"/>
  <c r="S242" i="1" s="1"/>
  <c r="O241" i="1"/>
  <c r="P241" i="1"/>
  <c r="R241" i="1" s="1"/>
  <c r="S241" i="1" s="1"/>
  <c r="O240" i="1"/>
  <c r="P240" i="1"/>
  <c r="R240" i="1" s="1"/>
  <c r="S240" i="1" s="1"/>
  <c r="O239" i="1"/>
  <c r="P239" i="1"/>
  <c r="R239" i="1" s="1"/>
  <c r="S239" i="1" s="1"/>
  <c r="O238" i="1"/>
  <c r="P238" i="1"/>
  <c r="R238" i="1" s="1"/>
  <c r="S238" i="1" s="1"/>
  <c r="O237" i="1"/>
  <c r="P237" i="1"/>
  <c r="R237" i="1" s="1"/>
  <c r="S237" i="1" s="1"/>
  <c r="O236" i="1"/>
  <c r="P236" i="1" s="1"/>
  <c r="R236" i="1" s="1"/>
  <c r="S236" i="1" s="1"/>
  <c r="O235" i="1"/>
  <c r="P235" i="1"/>
  <c r="R235" i="1" s="1"/>
  <c r="S235" i="1" s="1"/>
  <c r="O234" i="1"/>
  <c r="P234" i="1"/>
  <c r="R234" i="1" s="1"/>
  <c r="S234" i="1" s="1"/>
  <c r="O233" i="1"/>
  <c r="P233" i="1"/>
  <c r="R233" i="1" s="1"/>
  <c r="S233" i="1" s="1"/>
  <c r="O232" i="1"/>
  <c r="P232" i="1"/>
  <c r="R232" i="1" s="1"/>
  <c r="S232" i="1" s="1"/>
  <c r="O231" i="1"/>
  <c r="P231" i="1" s="1"/>
  <c r="R231" i="1" s="1"/>
  <c r="S231" i="1" s="1"/>
  <c r="O230" i="1"/>
  <c r="P230" i="1"/>
  <c r="R230" i="1" s="1"/>
  <c r="S230" i="1" s="1"/>
  <c r="O229" i="1"/>
  <c r="P229" i="1"/>
  <c r="R229" i="1" s="1"/>
  <c r="S229" i="1" s="1"/>
  <c r="O228" i="1"/>
  <c r="P228" i="1"/>
  <c r="R228" i="1" s="1"/>
  <c r="S228" i="1" s="1"/>
  <c r="O227" i="1"/>
  <c r="P227" i="1"/>
  <c r="R227" i="1" s="1"/>
  <c r="S227" i="1" s="1"/>
  <c r="O226" i="1"/>
  <c r="P226" i="1"/>
  <c r="R226" i="1" s="1"/>
  <c r="S226" i="1" s="1"/>
  <c r="O225" i="1"/>
  <c r="P225" i="1"/>
  <c r="R225" i="1" s="1"/>
  <c r="S225" i="1" s="1"/>
  <c r="O224" i="1"/>
  <c r="P224" i="1"/>
  <c r="R224" i="1" s="1"/>
  <c r="S224" i="1" s="1"/>
  <c r="O223" i="1"/>
  <c r="P223" i="1"/>
  <c r="R223" i="1" s="1"/>
  <c r="S223" i="1" s="1"/>
  <c r="O222" i="1"/>
  <c r="P222" i="1"/>
  <c r="R222" i="1" s="1"/>
  <c r="S222" i="1" s="1"/>
  <c r="O221" i="1"/>
  <c r="P221" i="1"/>
  <c r="R221" i="1" s="1"/>
  <c r="S221" i="1" s="1"/>
  <c r="O220" i="1"/>
  <c r="P220" i="1"/>
  <c r="R220" i="1" s="1"/>
  <c r="S220" i="1" s="1"/>
  <c r="O219" i="1"/>
  <c r="P219" i="1"/>
  <c r="R219" i="1" s="1"/>
  <c r="S219" i="1" s="1"/>
  <c r="O218" i="1"/>
  <c r="P218" i="1"/>
  <c r="R218" i="1" s="1"/>
  <c r="S218" i="1" s="1"/>
  <c r="O217" i="1"/>
  <c r="P217" i="1"/>
  <c r="R217" i="1" s="1"/>
  <c r="S217" i="1" s="1"/>
  <c r="O216" i="1"/>
  <c r="P216" i="1"/>
  <c r="R216" i="1" s="1"/>
  <c r="S216" i="1" s="1"/>
  <c r="O215" i="1"/>
  <c r="P215" i="1"/>
  <c r="R215" i="1" s="1"/>
  <c r="S215" i="1" s="1"/>
  <c r="O214" i="1"/>
  <c r="P214" i="1"/>
  <c r="R214" i="1" s="1"/>
  <c r="S214" i="1" s="1"/>
  <c r="O213" i="1"/>
  <c r="P213" i="1"/>
  <c r="R213" i="1" s="1"/>
  <c r="S213" i="1" s="1"/>
  <c r="O212" i="1"/>
  <c r="P212" i="1"/>
  <c r="R212" i="1" s="1"/>
  <c r="S212" i="1" s="1"/>
  <c r="O211" i="1"/>
  <c r="P211" i="1"/>
  <c r="R211" i="1" s="1"/>
  <c r="S211" i="1" s="1"/>
  <c r="O210" i="1"/>
  <c r="P210" i="1"/>
  <c r="R210" i="1" s="1"/>
  <c r="S210" i="1" s="1"/>
  <c r="O209" i="1"/>
  <c r="P209" i="1"/>
  <c r="R209" i="1" s="1"/>
  <c r="S209" i="1" s="1"/>
  <c r="O208" i="1"/>
  <c r="P208" i="1"/>
  <c r="R208" i="1" s="1"/>
  <c r="S208" i="1" s="1"/>
  <c r="O207" i="1"/>
  <c r="P207" i="1"/>
  <c r="R207" i="1" s="1"/>
  <c r="S207" i="1" s="1"/>
  <c r="O206" i="1"/>
  <c r="P206" i="1"/>
  <c r="R206" i="1" s="1"/>
  <c r="S206" i="1" s="1"/>
  <c r="O205" i="1"/>
  <c r="P205" i="1"/>
  <c r="R205" i="1" s="1"/>
  <c r="S205" i="1" s="1"/>
  <c r="O204" i="1"/>
  <c r="P204" i="1"/>
  <c r="R204" i="1" s="1"/>
  <c r="S204" i="1" s="1"/>
  <c r="O203" i="1"/>
  <c r="P203" i="1"/>
  <c r="R203" i="1" s="1"/>
  <c r="S203" i="1" s="1"/>
  <c r="O202" i="1"/>
  <c r="P202" i="1"/>
  <c r="R202" i="1" s="1"/>
  <c r="S202" i="1" s="1"/>
  <c r="O201" i="1"/>
  <c r="P201" i="1"/>
  <c r="R201" i="1" s="1"/>
  <c r="S201" i="1" s="1"/>
  <c r="O200" i="1"/>
  <c r="P200" i="1"/>
  <c r="R200" i="1" s="1"/>
  <c r="S200" i="1" s="1"/>
  <c r="O199" i="1"/>
  <c r="P199" i="1"/>
  <c r="R199" i="1" s="1"/>
  <c r="S199" i="1" s="1"/>
  <c r="O198" i="1"/>
  <c r="P198" i="1"/>
  <c r="R198" i="1" s="1"/>
  <c r="S198" i="1" s="1"/>
  <c r="O197" i="1"/>
  <c r="P197" i="1"/>
  <c r="R197" i="1" s="1"/>
  <c r="S197" i="1" s="1"/>
  <c r="O196" i="1"/>
  <c r="P196" i="1"/>
  <c r="R196" i="1" s="1"/>
  <c r="S196" i="1" s="1"/>
  <c r="O195" i="1"/>
  <c r="P195" i="1"/>
  <c r="R195" i="1" s="1"/>
  <c r="S195" i="1" s="1"/>
  <c r="O194" i="1"/>
  <c r="P194" i="1"/>
  <c r="R194" i="1" s="1"/>
  <c r="S194" i="1" s="1"/>
  <c r="O193" i="1"/>
  <c r="P193" i="1"/>
  <c r="R193" i="1" s="1"/>
  <c r="S193" i="1" s="1"/>
  <c r="O192" i="1"/>
  <c r="P192" i="1"/>
  <c r="R192" i="1" s="1"/>
  <c r="S192" i="1" s="1"/>
  <c r="O191" i="1"/>
  <c r="P191" i="1"/>
  <c r="R191" i="1" s="1"/>
  <c r="S191" i="1" s="1"/>
  <c r="O190" i="1"/>
  <c r="P190" i="1"/>
  <c r="R190" i="1" s="1"/>
  <c r="S190" i="1" s="1"/>
  <c r="O189" i="1"/>
  <c r="P189" i="1"/>
  <c r="R189" i="1" s="1"/>
  <c r="S189" i="1" s="1"/>
  <c r="O188" i="1"/>
  <c r="P188" i="1" s="1"/>
  <c r="R188" i="1" s="1"/>
  <c r="S188" i="1" s="1"/>
  <c r="O187" i="1"/>
  <c r="P187" i="1" s="1"/>
  <c r="R187" i="1" s="1"/>
  <c r="S187" i="1" s="1"/>
  <c r="O186" i="1"/>
  <c r="P186" i="1"/>
  <c r="R186" i="1" s="1"/>
  <c r="S186" i="1" s="1"/>
  <c r="O185" i="1"/>
  <c r="P185" i="1"/>
  <c r="R185" i="1" s="1"/>
  <c r="S185" i="1" s="1"/>
  <c r="O184" i="1"/>
  <c r="P184" i="1"/>
  <c r="R184" i="1" s="1"/>
  <c r="S184" i="1" s="1"/>
  <c r="O183" i="1"/>
  <c r="P183" i="1"/>
  <c r="R183" i="1" s="1"/>
  <c r="S183" i="1" s="1"/>
  <c r="O182" i="1"/>
  <c r="P182" i="1"/>
  <c r="R182" i="1" s="1"/>
  <c r="S182" i="1" s="1"/>
  <c r="O181" i="1"/>
  <c r="P181" i="1" s="1"/>
  <c r="R181" i="1" s="1"/>
  <c r="S181" i="1" s="1"/>
  <c r="O180" i="1"/>
  <c r="P180" i="1"/>
  <c r="R180" i="1" s="1"/>
  <c r="S180" i="1" s="1"/>
  <c r="O179" i="1"/>
  <c r="P179" i="1"/>
  <c r="R179" i="1" s="1"/>
  <c r="S179" i="1" s="1"/>
  <c r="O178" i="1"/>
  <c r="P178" i="1"/>
  <c r="R178" i="1" s="1"/>
  <c r="S178" i="1" s="1"/>
  <c r="O177" i="1"/>
  <c r="P177" i="1"/>
  <c r="R177" i="1" s="1"/>
  <c r="S177" i="1" s="1"/>
  <c r="O176" i="1"/>
  <c r="P176" i="1"/>
  <c r="R176" i="1" s="1"/>
  <c r="S176" i="1" s="1"/>
  <c r="O175" i="1"/>
  <c r="P175" i="1"/>
  <c r="R175" i="1" s="1"/>
  <c r="S175" i="1" s="1"/>
  <c r="O174" i="1"/>
  <c r="P174" i="1"/>
  <c r="R174" i="1" s="1"/>
  <c r="S174" i="1" s="1"/>
  <c r="O173" i="1"/>
  <c r="P173" i="1"/>
  <c r="R173" i="1" s="1"/>
  <c r="S173" i="1" s="1"/>
  <c r="O172" i="1"/>
  <c r="P172" i="1"/>
  <c r="R172" i="1" s="1"/>
  <c r="S172" i="1" s="1"/>
  <c r="O171" i="1"/>
  <c r="P171" i="1"/>
  <c r="R171" i="1" s="1"/>
  <c r="S171" i="1" s="1"/>
  <c r="O170" i="1"/>
  <c r="P170" i="1"/>
  <c r="R170" i="1" s="1"/>
  <c r="S170" i="1" s="1"/>
  <c r="O169" i="1"/>
  <c r="P169" i="1"/>
  <c r="R169" i="1" s="1"/>
  <c r="S169" i="1" s="1"/>
  <c r="O168" i="1"/>
  <c r="P168" i="1"/>
  <c r="R168" i="1" s="1"/>
  <c r="S168" i="1" s="1"/>
  <c r="O167" i="1"/>
  <c r="P167" i="1"/>
  <c r="R167" i="1" s="1"/>
  <c r="S167" i="1" s="1"/>
  <c r="O166" i="1"/>
  <c r="P166" i="1"/>
  <c r="R166" i="1" s="1"/>
  <c r="S166" i="1" s="1"/>
  <c r="O165" i="1"/>
  <c r="P165" i="1"/>
  <c r="R165" i="1" s="1"/>
  <c r="S165" i="1" s="1"/>
  <c r="O164" i="1"/>
  <c r="P164" i="1"/>
  <c r="R164" i="1" s="1"/>
  <c r="S164" i="1" s="1"/>
  <c r="O163" i="1"/>
  <c r="P163" i="1"/>
  <c r="R163" i="1" s="1"/>
  <c r="S163" i="1" s="1"/>
  <c r="O162" i="1"/>
  <c r="P162" i="1"/>
  <c r="R162" i="1" s="1"/>
  <c r="S162" i="1" s="1"/>
  <c r="O161" i="1"/>
  <c r="P161" i="1"/>
  <c r="R161" i="1" s="1"/>
  <c r="S161" i="1" s="1"/>
  <c r="O160" i="1"/>
  <c r="P160" i="1"/>
  <c r="R160" i="1" s="1"/>
  <c r="S160" i="1" s="1"/>
  <c r="O159" i="1"/>
  <c r="P159" i="1"/>
  <c r="R159" i="1" s="1"/>
  <c r="S159" i="1" s="1"/>
  <c r="O158" i="1"/>
  <c r="P158" i="1"/>
  <c r="R158" i="1" s="1"/>
  <c r="S158" i="1" s="1"/>
  <c r="O157" i="1"/>
  <c r="P157" i="1"/>
  <c r="R157" i="1" s="1"/>
  <c r="S157" i="1" s="1"/>
  <c r="O156" i="1"/>
  <c r="P156" i="1"/>
  <c r="R156" i="1" s="1"/>
  <c r="S156" i="1" s="1"/>
  <c r="O155" i="1"/>
  <c r="P155" i="1"/>
  <c r="R155" i="1" s="1"/>
  <c r="S155" i="1" s="1"/>
  <c r="O154" i="1"/>
  <c r="P154" i="1"/>
  <c r="R154" i="1" s="1"/>
  <c r="S154" i="1" s="1"/>
  <c r="O153" i="1"/>
  <c r="P153" i="1"/>
  <c r="R153" i="1" s="1"/>
  <c r="S153" i="1" s="1"/>
  <c r="O152" i="1"/>
  <c r="P152" i="1"/>
  <c r="R152" i="1" s="1"/>
  <c r="S152" i="1" s="1"/>
  <c r="O151" i="1"/>
  <c r="P151" i="1"/>
  <c r="R151" i="1" s="1"/>
  <c r="S151" i="1" s="1"/>
  <c r="O150" i="1"/>
  <c r="P150" i="1"/>
  <c r="R150" i="1" s="1"/>
  <c r="S150" i="1" s="1"/>
  <c r="O149" i="1"/>
  <c r="P149" i="1"/>
  <c r="R149" i="1" s="1"/>
  <c r="S149" i="1" s="1"/>
  <c r="O148" i="1"/>
  <c r="P148" i="1"/>
  <c r="R148" i="1" s="1"/>
  <c r="S148" i="1" s="1"/>
  <c r="O147" i="1"/>
  <c r="P147" i="1"/>
  <c r="R147" i="1" s="1"/>
  <c r="S147" i="1" s="1"/>
  <c r="O146" i="1"/>
  <c r="P146" i="1"/>
  <c r="R146" i="1" s="1"/>
  <c r="S146" i="1" s="1"/>
  <c r="O145" i="1"/>
  <c r="P145" i="1"/>
  <c r="R145" i="1" s="1"/>
  <c r="S145" i="1" s="1"/>
  <c r="O144" i="1"/>
  <c r="P144" i="1"/>
  <c r="R144" i="1" s="1"/>
  <c r="S144" i="1" s="1"/>
  <c r="O143" i="1"/>
  <c r="P143" i="1"/>
  <c r="R143" i="1" s="1"/>
  <c r="S143" i="1" s="1"/>
  <c r="O142" i="1"/>
  <c r="P142" i="1"/>
  <c r="R142" i="1" s="1"/>
  <c r="S142" i="1" s="1"/>
  <c r="O141" i="1"/>
  <c r="P141" i="1"/>
  <c r="R141" i="1" s="1"/>
  <c r="S141" i="1" s="1"/>
  <c r="O140" i="1"/>
  <c r="P140" i="1"/>
  <c r="R140" i="1" s="1"/>
  <c r="S140" i="1" s="1"/>
  <c r="O139" i="1"/>
  <c r="P139" i="1"/>
  <c r="R139" i="1" s="1"/>
  <c r="S139" i="1" s="1"/>
  <c r="O138" i="1"/>
  <c r="P138" i="1"/>
  <c r="R138" i="1" s="1"/>
  <c r="S138" i="1" s="1"/>
  <c r="O137" i="1"/>
  <c r="P137" i="1" s="1"/>
  <c r="R137" i="1" s="1"/>
  <c r="S137" i="1" s="1"/>
  <c r="O136" i="1"/>
  <c r="P136" i="1"/>
  <c r="R136" i="1" s="1"/>
  <c r="S136" i="1" s="1"/>
  <c r="O135" i="1"/>
  <c r="P135" i="1"/>
  <c r="R135" i="1" s="1"/>
  <c r="S135" i="1" s="1"/>
  <c r="O134" i="1"/>
  <c r="P134" i="1"/>
  <c r="R134" i="1" s="1"/>
  <c r="S134" i="1" s="1"/>
  <c r="O133" i="1"/>
  <c r="P133" i="1" s="1"/>
  <c r="R133" i="1" s="1"/>
  <c r="S133" i="1" s="1"/>
  <c r="O132" i="1"/>
  <c r="P132" i="1"/>
  <c r="R132" i="1" s="1"/>
  <c r="S132" i="1" s="1"/>
  <c r="O131" i="1"/>
  <c r="P131" i="1"/>
  <c r="R131" i="1" s="1"/>
  <c r="S131" i="1" s="1"/>
  <c r="O130" i="1"/>
  <c r="P130" i="1"/>
  <c r="R130" i="1" s="1"/>
  <c r="S130" i="1" s="1"/>
  <c r="O129" i="1"/>
  <c r="P129" i="1"/>
  <c r="R129" i="1" s="1"/>
  <c r="S129" i="1" s="1"/>
  <c r="O128" i="1"/>
  <c r="P128" i="1"/>
  <c r="R128" i="1" s="1"/>
  <c r="S128" i="1" s="1"/>
  <c r="O127" i="1"/>
  <c r="P127" i="1"/>
  <c r="R127" i="1" s="1"/>
  <c r="S127" i="1" s="1"/>
  <c r="O126" i="1"/>
  <c r="P126" i="1"/>
  <c r="R126" i="1" s="1"/>
  <c r="S126" i="1" s="1"/>
  <c r="O125" i="1"/>
  <c r="P125" i="1"/>
  <c r="R125" i="1" s="1"/>
  <c r="S125" i="1" s="1"/>
  <c r="O124" i="1"/>
  <c r="P124" i="1"/>
  <c r="R124" i="1" s="1"/>
  <c r="S124" i="1" s="1"/>
  <c r="O123" i="1"/>
  <c r="P123" i="1"/>
  <c r="R123" i="1" s="1"/>
  <c r="S123" i="1" s="1"/>
  <c r="O122" i="1"/>
  <c r="P122" i="1"/>
  <c r="R122" i="1" s="1"/>
  <c r="S122" i="1" s="1"/>
  <c r="O121" i="1"/>
  <c r="P121" i="1"/>
  <c r="R121" i="1" s="1"/>
  <c r="S121" i="1" s="1"/>
  <c r="O120" i="1"/>
  <c r="P120" i="1"/>
  <c r="R120" i="1" s="1"/>
  <c r="S120" i="1" s="1"/>
  <c r="O119" i="1"/>
  <c r="P119" i="1"/>
  <c r="R119" i="1" s="1"/>
  <c r="S119" i="1" s="1"/>
  <c r="O118" i="1"/>
  <c r="P118" i="1"/>
  <c r="R118" i="1" s="1"/>
  <c r="S118" i="1" s="1"/>
  <c r="O117" i="1"/>
  <c r="P117" i="1"/>
  <c r="R117" i="1" s="1"/>
  <c r="S117" i="1" s="1"/>
  <c r="O116" i="1"/>
  <c r="P116" i="1"/>
  <c r="R116" i="1" s="1"/>
  <c r="S116" i="1" s="1"/>
  <c r="O115" i="1"/>
  <c r="P115" i="1"/>
  <c r="R115" i="1" s="1"/>
  <c r="S115" i="1" s="1"/>
  <c r="O114" i="1"/>
  <c r="P114" i="1"/>
  <c r="R114" i="1" s="1"/>
  <c r="S114" i="1" s="1"/>
  <c r="O113" i="1"/>
  <c r="P113" i="1"/>
  <c r="R113" i="1" s="1"/>
  <c r="S113" i="1" s="1"/>
  <c r="O112" i="1"/>
  <c r="P112" i="1"/>
  <c r="R112" i="1" s="1"/>
  <c r="S112" i="1" s="1"/>
  <c r="O111" i="1"/>
  <c r="P111" i="1"/>
  <c r="R111" i="1" s="1"/>
  <c r="S111" i="1" s="1"/>
  <c r="O110" i="1"/>
  <c r="P110" i="1"/>
  <c r="R110" i="1" s="1"/>
  <c r="S110" i="1" s="1"/>
  <c r="O109" i="1"/>
  <c r="P109" i="1"/>
  <c r="R109" i="1" s="1"/>
  <c r="S109" i="1" s="1"/>
  <c r="O108" i="1"/>
  <c r="P108" i="1"/>
  <c r="R108" i="1" s="1"/>
  <c r="S108" i="1" s="1"/>
  <c r="O107" i="1"/>
  <c r="P107" i="1"/>
  <c r="R107" i="1" s="1"/>
  <c r="S107" i="1" s="1"/>
  <c r="O106" i="1"/>
  <c r="P106" i="1"/>
  <c r="R106" i="1" s="1"/>
  <c r="S106" i="1" s="1"/>
  <c r="O105" i="1"/>
  <c r="P105" i="1"/>
  <c r="R105" i="1" s="1"/>
  <c r="S105" i="1" s="1"/>
  <c r="O104" i="1"/>
  <c r="P104" i="1"/>
  <c r="R104" i="1" s="1"/>
  <c r="S104" i="1" s="1"/>
  <c r="O103" i="1"/>
  <c r="P103" i="1"/>
  <c r="R103" i="1" s="1"/>
  <c r="S103" i="1" s="1"/>
  <c r="O102" i="1"/>
  <c r="P102" i="1"/>
  <c r="R102" i="1" s="1"/>
  <c r="S102" i="1" s="1"/>
  <c r="O101" i="1"/>
  <c r="P101" i="1"/>
  <c r="R101" i="1" s="1"/>
  <c r="S101" i="1" s="1"/>
  <c r="O100" i="1"/>
  <c r="P100" i="1"/>
  <c r="R100" i="1" s="1"/>
  <c r="S100" i="1" s="1"/>
  <c r="O99" i="1"/>
  <c r="P99" i="1"/>
  <c r="R99" i="1" s="1"/>
  <c r="S99" i="1" s="1"/>
  <c r="O98" i="1"/>
  <c r="P98" i="1"/>
  <c r="R98" i="1" s="1"/>
  <c r="S98" i="1" s="1"/>
  <c r="O97" i="1"/>
  <c r="P97" i="1"/>
  <c r="R97" i="1" s="1"/>
  <c r="S97" i="1" s="1"/>
  <c r="O96" i="1"/>
  <c r="P96" i="1"/>
  <c r="R96" i="1" s="1"/>
  <c r="S96" i="1" s="1"/>
  <c r="O95" i="1"/>
  <c r="P95" i="1" s="1"/>
  <c r="R95" i="1" s="1"/>
  <c r="S95" i="1" s="1"/>
  <c r="O94" i="1"/>
  <c r="P94" i="1"/>
  <c r="R94" i="1" s="1"/>
  <c r="S94" i="1" s="1"/>
  <c r="O93" i="1"/>
  <c r="P93" i="1"/>
  <c r="R93" i="1" s="1"/>
  <c r="S93" i="1" s="1"/>
  <c r="O92" i="1"/>
  <c r="P92" i="1"/>
  <c r="R92" i="1" s="1"/>
  <c r="S92" i="1" s="1"/>
  <c r="O91" i="1"/>
  <c r="P91" i="1"/>
  <c r="R91" i="1" s="1"/>
  <c r="S91" i="1" s="1"/>
  <c r="O90" i="1"/>
  <c r="P90" i="1"/>
  <c r="R90" i="1" s="1"/>
  <c r="S90" i="1" s="1"/>
  <c r="O89" i="1"/>
  <c r="P89" i="1"/>
  <c r="R89" i="1" s="1"/>
  <c r="S89" i="1" s="1"/>
  <c r="O88" i="1"/>
  <c r="P88" i="1"/>
  <c r="R88" i="1" s="1"/>
  <c r="S88" i="1" s="1"/>
  <c r="O87" i="1"/>
  <c r="P87" i="1"/>
  <c r="R87" i="1" s="1"/>
  <c r="S87" i="1" s="1"/>
  <c r="O86" i="1"/>
  <c r="P86" i="1"/>
  <c r="R86" i="1" s="1"/>
  <c r="S86" i="1" s="1"/>
  <c r="O85" i="1"/>
  <c r="P85" i="1" s="1"/>
  <c r="R85" i="1" s="1"/>
  <c r="S85" i="1" s="1"/>
  <c r="O84" i="1"/>
  <c r="P84" i="1" s="1"/>
  <c r="R84" i="1" s="1"/>
  <c r="S84" i="1" s="1"/>
  <c r="O83" i="1"/>
  <c r="P83" i="1" s="1"/>
  <c r="R83" i="1" s="1"/>
  <c r="S83" i="1" s="1"/>
  <c r="O82" i="1"/>
  <c r="P82" i="1"/>
  <c r="R82" i="1" s="1"/>
  <c r="S82" i="1" s="1"/>
  <c r="O81" i="1"/>
  <c r="P81" i="1"/>
  <c r="R81" i="1" s="1"/>
  <c r="S81" i="1" s="1"/>
  <c r="O80" i="1"/>
  <c r="P80" i="1" s="1"/>
  <c r="R80" i="1" s="1"/>
  <c r="S80" i="1" s="1"/>
  <c r="O79" i="1"/>
  <c r="P79" i="1" s="1"/>
  <c r="R79" i="1" s="1"/>
  <c r="S79" i="1" s="1"/>
  <c r="O78" i="1"/>
  <c r="P78" i="1"/>
  <c r="R78" i="1" s="1"/>
  <c r="S78" i="1" s="1"/>
  <c r="O77" i="1"/>
  <c r="P77" i="1"/>
  <c r="R77" i="1" s="1"/>
  <c r="S77" i="1" s="1"/>
  <c r="O76" i="1"/>
  <c r="P76" i="1" s="1"/>
  <c r="R76" i="1" s="1"/>
  <c r="S76" i="1" s="1"/>
  <c r="O75" i="1"/>
  <c r="P75" i="1"/>
  <c r="R75" i="1" s="1"/>
  <c r="S75" i="1" s="1"/>
  <c r="O74" i="1"/>
  <c r="P74" i="1"/>
  <c r="R74" i="1" s="1"/>
  <c r="S74" i="1" s="1"/>
  <c r="O73" i="1"/>
  <c r="P73" i="1"/>
  <c r="R73" i="1" s="1"/>
  <c r="S73" i="1" s="1"/>
  <c r="O72" i="1"/>
  <c r="P72" i="1"/>
  <c r="R72" i="1" s="1"/>
  <c r="S72" i="1" s="1"/>
  <c r="O71" i="1"/>
  <c r="P71" i="1"/>
  <c r="R71" i="1" s="1"/>
  <c r="S71" i="1" s="1"/>
  <c r="O70" i="1"/>
  <c r="P70" i="1" s="1"/>
  <c r="R70" i="1" s="1"/>
  <c r="S70" i="1" s="1"/>
  <c r="O69" i="1"/>
  <c r="P69" i="1"/>
  <c r="R69" i="1" s="1"/>
  <c r="S69" i="1" s="1"/>
  <c r="O68" i="1"/>
  <c r="P68" i="1"/>
  <c r="R68" i="1" s="1"/>
  <c r="S68" i="1" s="1"/>
  <c r="O67" i="1"/>
  <c r="P67" i="1"/>
  <c r="R67" i="1" s="1"/>
  <c r="S67" i="1" s="1"/>
  <c r="O66" i="1"/>
  <c r="P66" i="1"/>
  <c r="R66" i="1" s="1"/>
  <c r="S66" i="1" s="1"/>
  <c r="O65" i="1"/>
  <c r="P65" i="1"/>
  <c r="R65" i="1" s="1"/>
  <c r="S65" i="1" s="1"/>
  <c r="O64" i="1"/>
  <c r="P64" i="1"/>
  <c r="R64" i="1" s="1"/>
  <c r="S64" i="1" s="1"/>
  <c r="O63" i="1"/>
  <c r="P63" i="1" s="1"/>
  <c r="R63" i="1" s="1"/>
  <c r="S63" i="1" s="1"/>
  <c r="O62" i="1"/>
  <c r="P62" i="1" s="1"/>
  <c r="R62" i="1" s="1"/>
  <c r="S62" i="1" s="1"/>
  <c r="O61" i="1"/>
  <c r="P61" i="1" s="1"/>
  <c r="R61" i="1" s="1"/>
  <c r="S61" i="1" s="1"/>
  <c r="O60" i="1"/>
  <c r="P60" i="1"/>
  <c r="R60" i="1" s="1"/>
  <c r="S60" i="1" s="1"/>
  <c r="O59" i="1"/>
  <c r="P59" i="1"/>
  <c r="R59" i="1" s="1"/>
  <c r="S59" i="1" s="1"/>
  <c r="O58" i="1"/>
  <c r="P58" i="1" s="1"/>
  <c r="R58" i="1" s="1"/>
  <c r="S58" i="1" s="1"/>
  <c r="O57" i="1"/>
  <c r="P57" i="1"/>
  <c r="R57" i="1" s="1"/>
  <c r="S57" i="1" s="1"/>
  <c r="O56" i="1"/>
  <c r="P56" i="1"/>
  <c r="R56" i="1" s="1"/>
  <c r="S56" i="1" s="1"/>
  <c r="O55" i="1"/>
  <c r="P55" i="1"/>
  <c r="R55" i="1" s="1"/>
  <c r="S55" i="1" s="1"/>
  <c r="O54" i="1"/>
  <c r="P54" i="1"/>
  <c r="O53" i="1"/>
  <c r="P53" i="1"/>
  <c r="R53" i="1" s="1"/>
  <c r="S53" i="1" s="1"/>
  <c r="O52" i="1"/>
  <c r="P52" i="1"/>
  <c r="R52" i="1" s="1"/>
  <c r="S52" i="1" s="1"/>
  <c r="O51" i="1"/>
  <c r="P51" i="1"/>
  <c r="R51" i="1" s="1"/>
  <c r="S51" i="1" s="1"/>
  <c r="O50" i="1"/>
  <c r="P50" i="1"/>
  <c r="R50" i="1" s="1"/>
  <c r="S50" i="1" s="1"/>
  <c r="O49" i="1"/>
  <c r="P49" i="1"/>
  <c r="O48" i="1"/>
  <c r="P48" i="1"/>
  <c r="R48" i="1" s="1"/>
  <c r="S48" i="1" s="1"/>
  <c r="O47" i="1"/>
  <c r="P47" i="1"/>
  <c r="R47" i="1" s="1"/>
  <c r="S47" i="1" s="1"/>
  <c r="O46" i="1"/>
  <c r="P46" i="1"/>
  <c r="R46" i="1" s="1"/>
  <c r="S46" i="1" s="1"/>
  <c r="O45" i="1"/>
  <c r="P45" i="1"/>
  <c r="R45" i="1" s="1"/>
  <c r="S45" i="1" s="1"/>
  <c r="O44" i="1"/>
  <c r="P44" i="1"/>
  <c r="R44" i="1" s="1"/>
  <c r="S44" i="1" s="1"/>
  <c r="O43" i="1"/>
  <c r="P43" i="1"/>
  <c r="R43" i="1" s="1"/>
  <c r="S43" i="1" s="1"/>
  <c r="O42" i="1"/>
  <c r="P42" i="1"/>
  <c r="R42" i="1" s="1"/>
  <c r="S42" i="1" s="1"/>
  <c r="O41" i="1"/>
  <c r="P41" i="1"/>
  <c r="R41" i="1" s="1"/>
  <c r="S41" i="1" s="1"/>
  <c r="O40" i="1"/>
  <c r="P40" i="1"/>
  <c r="R40" i="1" s="1"/>
  <c r="S40" i="1" s="1"/>
  <c r="O39" i="1"/>
  <c r="P39" i="1"/>
  <c r="R39" i="1" s="1"/>
  <c r="S39" i="1" s="1"/>
  <c r="O38" i="1"/>
  <c r="P38" i="1"/>
  <c r="R38" i="1" s="1"/>
  <c r="S38" i="1" s="1"/>
  <c r="O37" i="1"/>
  <c r="P37" i="1"/>
  <c r="R37" i="1" s="1"/>
  <c r="S37" i="1" s="1"/>
  <c r="O36" i="1"/>
  <c r="P36" i="1"/>
  <c r="R36" i="1" s="1"/>
  <c r="S36" i="1" s="1"/>
  <c r="O35" i="1"/>
  <c r="P35" i="1"/>
  <c r="R35" i="1" s="1"/>
  <c r="S35" i="1" s="1"/>
  <c r="O34" i="1"/>
  <c r="P34" i="1"/>
  <c r="R34" i="1" s="1"/>
  <c r="S34" i="1" s="1"/>
  <c r="O33" i="1"/>
  <c r="P33" i="1"/>
  <c r="R33" i="1" s="1"/>
  <c r="S33" i="1" s="1"/>
  <c r="O32" i="1"/>
  <c r="P32" i="1" s="1"/>
  <c r="R32" i="1" s="1"/>
  <c r="S32" i="1" s="1"/>
  <c r="O31" i="1"/>
  <c r="P31" i="1"/>
  <c r="R31" i="1" s="1"/>
  <c r="S31" i="1" s="1"/>
  <c r="O30" i="1"/>
  <c r="P30" i="1"/>
  <c r="R30" i="1" s="1"/>
  <c r="S30" i="1" s="1"/>
  <c r="O29" i="1"/>
  <c r="P29" i="1"/>
  <c r="R29" i="1" s="1"/>
  <c r="S29" i="1" s="1"/>
  <c r="O28" i="1"/>
  <c r="P28" i="1"/>
  <c r="R28" i="1" s="1"/>
  <c r="S28" i="1" s="1"/>
  <c r="O27" i="1"/>
  <c r="P27" i="1"/>
  <c r="R27" i="1" s="1"/>
  <c r="S27" i="1" s="1"/>
  <c r="O26" i="1"/>
  <c r="P26" i="1"/>
  <c r="R26" i="1" s="1"/>
  <c r="S26" i="1" s="1"/>
  <c r="O25" i="1"/>
  <c r="P25" i="1"/>
  <c r="R25" i="1" s="1"/>
  <c r="S25" i="1" s="1"/>
  <c r="O24" i="1"/>
  <c r="P24" i="1"/>
  <c r="O23" i="1"/>
  <c r="P23" i="1"/>
  <c r="R23" i="1" s="1"/>
  <c r="S23" i="1" s="1"/>
  <c r="O22" i="1"/>
  <c r="P22" i="1"/>
  <c r="R22" i="1" s="1"/>
  <c r="S22" i="1" s="1"/>
  <c r="O21" i="1"/>
  <c r="P21" i="1"/>
  <c r="O20" i="1"/>
  <c r="P20" i="1"/>
  <c r="R20" i="1" s="1"/>
  <c r="S20" i="1" s="1"/>
  <c r="O19" i="1"/>
  <c r="P19" i="1"/>
  <c r="R19" i="1" s="1"/>
  <c r="S19" i="1" s="1"/>
  <c r="O18" i="1"/>
  <c r="P18" i="1"/>
  <c r="R18" i="1" s="1"/>
  <c r="S18" i="1" s="1"/>
  <c r="O17" i="1"/>
  <c r="P17" i="1"/>
  <c r="R17" i="1" s="1"/>
  <c r="S17" i="1" s="1"/>
  <c r="O16" i="1"/>
  <c r="P16" i="1"/>
  <c r="R16" i="1" s="1"/>
  <c r="S16" i="1" s="1"/>
  <c r="O15" i="1"/>
  <c r="P15" i="1"/>
  <c r="R15" i="1" s="1"/>
  <c r="S15" i="1" s="1"/>
  <c r="O14" i="1"/>
  <c r="P14" i="1"/>
  <c r="R14" i="1" s="1"/>
  <c r="S14" i="1" s="1"/>
  <c r="O13" i="1"/>
  <c r="P13" i="1"/>
  <c r="R13" i="1" s="1"/>
  <c r="S13" i="1" s="1"/>
  <c r="O12" i="1"/>
  <c r="P12" i="1"/>
  <c r="O11" i="1"/>
  <c r="P11" i="1"/>
  <c r="O10" i="1"/>
  <c r="P10" i="1"/>
  <c r="R10" i="1" s="1"/>
  <c r="S10" i="1" s="1"/>
  <c r="O9" i="1"/>
  <c r="P9" i="1"/>
  <c r="O8" i="1"/>
  <c r="P8" i="1"/>
  <c r="O7" i="1"/>
  <c r="P7" i="1"/>
  <c r="O6" i="1"/>
  <c r="P6" i="1"/>
  <c r="O5" i="1"/>
  <c r="P5" i="1"/>
  <c r="O4" i="1"/>
  <c r="P4" i="1"/>
  <c r="O3" i="1"/>
  <c r="P3" i="1"/>
  <c r="O2" i="1"/>
  <c r="P2" i="1"/>
  <c r="R54" i="1" l="1"/>
  <c r="B18" i="4"/>
  <c r="H15" i="5" s="1"/>
  <c r="R49" i="1"/>
  <c r="B22" i="4"/>
  <c r="H19" i="5" s="1"/>
  <c r="R24" i="1"/>
  <c r="B16" i="4"/>
  <c r="H13" i="5" s="1"/>
  <c r="R21" i="1"/>
  <c r="B9" i="4"/>
  <c r="B14" i="5" s="1"/>
  <c r="R12" i="1"/>
  <c r="B13" i="4"/>
  <c r="H10" i="5" s="1"/>
  <c r="R11" i="1"/>
  <c r="B19" i="4"/>
  <c r="H16" i="5" s="1"/>
  <c r="R9" i="1"/>
  <c r="G7" i="4"/>
  <c r="E12" i="5" s="1"/>
  <c r="B17" i="4"/>
  <c r="H14" i="5" s="1"/>
  <c r="R8" i="1"/>
  <c r="B23" i="4"/>
  <c r="H20" i="5" s="1"/>
  <c r="B8" i="4"/>
  <c r="B13" i="5" s="1"/>
  <c r="R7" i="1"/>
  <c r="S7" i="1" s="1"/>
  <c r="L5" i="4"/>
  <c r="R6" i="1"/>
  <c r="B14" i="4"/>
  <c r="H11" i="5" s="1"/>
  <c r="B5" i="4"/>
  <c r="B10" i="5" s="1"/>
  <c r="R5" i="1"/>
  <c r="B24" i="4"/>
  <c r="H21" i="5" s="1"/>
  <c r="B7" i="4"/>
  <c r="B12" i="5" s="1"/>
  <c r="R4" i="1"/>
  <c r="G5" i="4"/>
  <c r="E10" i="5" s="1"/>
  <c r="B15" i="4"/>
  <c r="H12" i="5" s="1"/>
  <c r="R3" i="1"/>
  <c r="L6" i="4"/>
  <c r="B21" i="4"/>
  <c r="H18" i="5" s="1"/>
  <c r="R2" i="1"/>
  <c r="D5" i="5"/>
  <c r="B6" i="4"/>
  <c r="B11" i="5" s="1"/>
  <c r="L7" i="4"/>
  <c r="B20" i="4"/>
  <c r="H17" i="5" s="1"/>
  <c r="G6" i="4"/>
  <c r="E11" i="5" s="1"/>
  <c r="S54" i="1" l="1"/>
  <c r="C18" i="4"/>
  <c r="I15" i="5" s="1"/>
  <c r="S49" i="1"/>
  <c r="C22" i="4"/>
  <c r="I19" i="5" s="1"/>
  <c r="S24" i="1"/>
  <c r="C16" i="4"/>
  <c r="I13" i="5" s="1"/>
  <c r="S21" i="1"/>
  <c r="C9" i="4"/>
  <c r="S12" i="1"/>
  <c r="C13" i="4"/>
  <c r="I10" i="5" s="1"/>
  <c r="S11" i="1"/>
  <c r="C19" i="4"/>
  <c r="I16" i="5" s="1"/>
  <c r="S9" i="1"/>
  <c r="H7" i="4"/>
  <c r="C17" i="4"/>
  <c r="I14" i="5" s="1"/>
  <c r="S8" i="1"/>
  <c r="C8" i="4"/>
  <c r="C23" i="4"/>
  <c r="I20" i="5" s="1"/>
  <c r="S6" i="1"/>
  <c r="C5" i="4"/>
  <c r="C14" i="4"/>
  <c r="I11" i="5" s="1"/>
  <c r="S5" i="1"/>
  <c r="C7" i="4"/>
  <c r="C24" i="4"/>
  <c r="I21" i="5" s="1"/>
  <c r="S4" i="1"/>
  <c r="H5" i="4"/>
  <c r="C15" i="4"/>
  <c r="I12" i="5" s="1"/>
  <c r="S3" i="1"/>
  <c r="C21" i="4"/>
  <c r="I18" i="5" s="1"/>
  <c r="S2" i="1"/>
  <c r="G5" i="5"/>
  <c r="J5" i="5" s="1"/>
  <c r="H6" i="4"/>
  <c r="C6" i="4"/>
  <c r="C20" i="4"/>
  <c r="I17" i="5" s="1"/>
</calcChain>
</file>

<file path=xl/sharedStrings.xml><?xml version="1.0" encoding="utf-8"?>
<sst xmlns="http://schemas.openxmlformats.org/spreadsheetml/2006/main" count="1719" uniqueCount="446">
  <si>
    <t>Order ID</t>
  </si>
  <si>
    <t>Order Date</t>
  </si>
  <si>
    <t>Customer ID</t>
  </si>
  <si>
    <t>Product ID</t>
  </si>
  <si>
    <t>Region</t>
  </si>
  <si>
    <t>Segment</t>
  </si>
  <si>
    <t>Quantity</t>
  </si>
  <si>
    <t>Discount %</t>
  </si>
  <si>
    <t>Payment Method</t>
  </si>
  <si>
    <t>Order Status</t>
  </si>
  <si>
    <t>Unit Price</t>
  </si>
  <si>
    <t>Product</t>
  </si>
  <si>
    <t>Category</t>
  </si>
  <si>
    <t>Gross Sales</t>
  </si>
  <si>
    <t>Discount Amount</t>
  </si>
  <si>
    <t>Net Sales</t>
  </si>
  <si>
    <t>Cost</t>
  </si>
  <si>
    <t>Profit</t>
  </si>
  <si>
    <t>Profit Margin %</t>
  </si>
  <si>
    <t>ORD0001</t>
  </si>
  <si>
    <t>C008</t>
  </si>
  <si>
    <t>P009</t>
  </si>
  <si>
    <t>COD</t>
  </si>
  <si>
    <t>Delivered</t>
  </si>
  <si>
    <t>ORD0002</t>
  </si>
  <si>
    <t>C003</t>
  </si>
  <si>
    <t>Credit Card</t>
  </si>
  <si>
    <t>ORD0003</t>
  </si>
  <si>
    <t>P005</t>
  </si>
  <si>
    <t>UPI</t>
  </si>
  <si>
    <t>Returned</t>
  </si>
  <si>
    <t>ORD0004</t>
  </si>
  <si>
    <t>C007</t>
  </si>
  <si>
    <t>P008</t>
  </si>
  <si>
    <t>ORD0005</t>
  </si>
  <si>
    <t>C001</t>
  </si>
  <si>
    <t>ORD0006</t>
  </si>
  <si>
    <t>C010</t>
  </si>
  <si>
    <t>P001</t>
  </si>
  <si>
    <t>ORD0007</t>
  </si>
  <si>
    <t>C009</t>
  </si>
  <si>
    <t>P004</t>
  </si>
  <si>
    <t>ORD0008</t>
  </si>
  <si>
    <t>P011</t>
  </si>
  <si>
    <t>ORD0009</t>
  </si>
  <si>
    <t>C006</t>
  </si>
  <si>
    <t>ORD0010</t>
  </si>
  <si>
    <t>C013</t>
  </si>
  <si>
    <t>P002</t>
  </si>
  <si>
    <t>Net Banking</t>
  </si>
  <si>
    <t>ORD0011</t>
  </si>
  <si>
    <t>ORD0012</t>
  </si>
  <si>
    <t>P012</t>
  </si>
  <si>
    <t>ORD0013</t>
  </si>
  <si>
    <t>Debit Card</t>
  </si>
  <si>
    <t>ORD0014</t>
  </si>
  <si>
    <t>P007</t>
  </si>
  <si>
    <t>ORD0015</t>
  </si>
  <si>
    <t>ORD0016</t>
  </si>
  <si>
    <t>ORD0017</t>
  </si>
  <si>
    <t>ORD0018</t>
  </si>
  <si>
    <t>C004</t>
  </si>
  <si>
    <t>P003</t>
  </si>
  <si>
    <t>ORD0019</t>
  </si>
  <si>
    <t>ORD0020</t>
  </si>
  <si>
    <t>C014</t>
  </si>
  <si>
    <t>ORD0021</t>
  </si>
  <si>
    <t>ORD0022</t>
  </si>
  <si>
    <t>ORD0023</t>
  </si>
  <si>
    <t>ORD0024</t>
  </si>
  <si>
    <t>P010</t>
  </si>
  <si>
    <t>ORD0025</t>
  </si>
  <si>
    <t>ORD0026</t>
  </si>
  <si>
    <t>ORD0027</t>
  </si>
  <si>
    <t>C012</t>
  </si>
  <si>
    <t>ORD0028</t>
  </si>
  <si>
    <t>C005</t>
  </si>
  <si>
    <t>ORD0029</t>
  </si>
  <si>
    <t>ORD0030</t>
  </si>
  <si>
    <t>ORD0031</t>
  </si>
  <si>
    <t>ORD0032</t>
  </si>
  <si>
    <t>ORD0033</t>
  </si>
  <si>
    <t>C011</t>
  </si>
  <si>
    <t>ORD0034</t>
  </si>
  <si>
    <t>ORD0035</t>
  </si>
  <si>
    <t>ORD0036</t>
  </si>
  <si>
    <t>ORD0037</t>
  </si>
  <si>
    <t>C015</t>
  </si>
  <si>
    <t>ORD0038</t>
  </si>
  <si>
    <t>ORD0039</t>
  </si>
  <si>
    <t>ORD0040</t>
  </si>
  <si>
    <t>ORD0041</t>
  </si>
  <si>
    <t>P006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</si>
  <si>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</si>
  <si>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</si>
  <si>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</si>
  <si>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</si>
  <si>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</si>
  <si>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</si>
  <si>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</si>
  <si>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</si>
  <si>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</si>
  <si>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C002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</si>
  <si>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</si>
  <si>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</si>
  <si>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</si>
  <si>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</si>
  <si>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</si>
  <si>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</si>
  <si>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</si>
  <si>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</si>
  <si>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</si>
  <si>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</si>
  <si>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</si>
  <si>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</si>
  <si>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</si>
  <si>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</si>
  <si>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</si>
  <si>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</si>
  <si>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</si>
  <si>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</si>
  <si>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</si>
  <si>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</si>
  <si>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</si>
  <si>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</si>
  <si>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</si>
  <si>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</si>
  <si>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</si>
  <si>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</si>
  <si>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</si>
  <si>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</si>
  <si>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</si>
  <si>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</si>
  <si>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</si>
  <si>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</si>
  <si>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</si>
  <si>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</si>
  <si>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</si>
  <si>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</si>
  <si>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</si>
  <si>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</si>
  <si>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</si>
  <si>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</si>
  <si>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</si>
  <si>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</si>
  <si>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</si>
  <si>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</si>
  <si>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</si>
  <si>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</si>
  <si>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</si>
  <si>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</si>
  <si>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</si>
  <si>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</si>
  <si>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</si>
  <si>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</si>
  <si>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</si>
  <si>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</si>
  <si>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</si>
  <si>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</si>
  <si>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</si>
  <si>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</si>
  <si>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</si>
  <si>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</si>
  <si>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</si>
  <si>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</si>
  <si>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</si>
  <si>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</si>
  <si>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</si>
  <si>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</si>
  <si>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</si>
  <si>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</si>
  <si>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</si>
  <si>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</si>
  <si>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</si>
  <si>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</si>
  <si>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</si>
  <si>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</si>
  <si>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</si>
  <si>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</si>
  <si>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</si>
  <si>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</si>
  <si>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</si>
  <si>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</si>
  <si>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</si>
  <si>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</si>
  <si>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</si>
  <si>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</si>
  <si>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</si>
  <si>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</si>
  <si>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</si>
  <si>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</si>
  <si>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</si>
  <si>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</si>
  <si>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</si>
  <si>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</si>
  <si>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</si>
  <si>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</si>
  <si>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</si>
  <si>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</si>
  <si>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</si>
  <si>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</si>
  <si>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</si>
  <si>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</si>
  <si>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</si>
  <si>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</si>
  <si>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</si>
  <si>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</si>
  <si>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</si>
  <si>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</si>
  <si>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</si>
  <si>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</si>
  <si>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</si>
  <si>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</si>
  <si>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</si>
  <si>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</si>
  <si>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</si>
  <si>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</si>
  <si>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</si>
  <si>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</si>
  <si>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</si>
  <si>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</si>
  <si>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</si>
  <si>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</si>
  <si>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</si>
  <si>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</si>
  <si>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</si>
  <si>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</si>
  <si>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</si>
  <si>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</si>
  <si>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</si>
  <si>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</si>
  <si>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</si>
  <si>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</si>
  <si>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</si>
  <si>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</si>
  <si>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</si>
  <si>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</si>
  <si>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</si>
  <si>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</si>
  <si>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</si>
  <si>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</si>
  <si>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</si>
  <si>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</si>
  <si>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</si>
  <si>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</si>
  <si>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</si>
  <si>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</si>
  <si>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</si>
  <si>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</si>
  <si>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</si>
  <si>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</si>
  <si>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</si>
  <si>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</si>
  <si>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</si>
  <si>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</si>
  <si>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</si>
  <si>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</si>
  <si>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</si>
  <si>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</si>
  <si>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</si>
  <si>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</si>
  <si>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</si>
  <si>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</si>
  <si>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</si>
  <si>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</si>
  <si>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</si>
  <si>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</si>
  <si>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</si>
  <si>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</si>
  <si>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</si>
  <si>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</si>
  <si>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</si>
  <si>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</si>
  <si>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</si>
  <si>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</si>
  <si>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</si>
  <si>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</si>
  <si>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</si>
  <si>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</si>
  <si>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</si>
  <si>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</si>
  <si>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</si>
  <si>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</si>
  <si>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</si>
  <si>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</si>
  <si>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</si>
  <si>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</si>
  <si>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</si>
  <si>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</si>
  <si>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</si>
  <si>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</si>
  <si>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</si>
  <si>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</si>
  <si>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</si>
  <si>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</si>
  <si>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</si>
  <si>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</si>
  <si>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</si>
  <si>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</si>
  <si>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</si>
  <si>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</si>
  <si>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</si>
  <si>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</si>
  <si>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</si>
  <si>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</si>
  <si>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</si>
  <si>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</si>
  <si>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</si>
  <si>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</si>
  <si>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</si>
  <si>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</si>
  <si>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</si>
  <si>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</si>
  <si>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</si>
  <si>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</si>
  <si>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</si>
  <si>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</si>
  <si>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</si>
  <si>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</si>
  <si>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</si>
  <si>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</si>
  <si>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</si>
  <si>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</si>
  <si>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</si>
  <si>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</si>
  <si>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</si>
  <si>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</si>
  <si>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</si>
  <si>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</si>
  <si>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</si>
  <si>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</si>
  <si>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</si>
  <si>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</si>
  <si>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</si>
  <si>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</si>
  <si>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</si>
  <si>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</si>
  <si>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</si>
  <si>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</si>
  <si>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</si>
  <si>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</si>
  <si>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</si>
  <si>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</si>
  <si>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</si>
  <si>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</si>
  <si>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</si>
  <si>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</si>
  <si>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</si>
  <si>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</si>
  <si>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</si>
  <si>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</si>
  <si>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</si>
  <si>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</si>
  <si>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Product Name</t>
  </si>
  <si>
    <t>Subcategory</t>
  </si>
  <si>
    <t>Cost Price</t>
  </si>
  <si>
    <t>Laptop Pro 14</t>
  </si>
  <si>
    <t>Electronics</t>
  </si>
  <si>
    <t>Computers</t>
  </si>
  <si>
    <t>Laptop Air 13</t>
  </si>
  <si>
    <t>Smartphone X</t>
  </si>
  <si>
    <t>Mobiles</t>
  </si>
  <si>
    <t>Smartphone Lite</t>
  </si>
  <si>
    <t>Tablet Plus</t>
  </si>
  <si>
    <t>Tablets</t>
  </si>
  <si>
    <t>Wireless Headphones</t>
  </si>
  <si>
    <t>Audio</t>
  </si>
  <si>
    <t>Bluetooth Speaker</t>
  </si>
  <si>
    <t>Mechanical Keyboard</t>
  </si>
  <si>
    <t>Accessories</t>
  </si>
  <si>
    <t>Computer Accessories</t>
  </si>
  <si>
    <t>Wireless Mouse</t>
  </si>
  <si>
    <t>USB-C Hub</t>
  </si>
  <si>
    <t>Office Chair</t>
  </si>
  <si>
    <t>Furniture</t>
  </si>
  <si>
    <t>Office</t>
  </si>
  <si>
    <t>Study Desk</t>
  </si>
  <si>
    <t>Customer Name</t>
  </si>
  <si>
    <t>City</t>
  </si>
  <si>
    <t>Aarav Sharma</t>
  </si>
  <si>
    <t>Delhi</t>
  </si>
  <si>
    <t>North</t>
  </si>
  <si>
    <t>Corporate</t>
  </si>
  <si>
    <t>Diya Mehta</t>
  </si>
  <si>
    <t>Mumbai</t>
  </si>
  <si>
    <t>West</t>
  </si>
  <si>
    <t>Consumer</t>
  </si>
  <si>
    <t>Kabir Rao</t>
  </si>
  <si>
    <t>Bengaluru</t>
  </si>
  <si>
    <t>South</t>
  </si>
  <si>
    <t>Anaya Singh</t>
  </si>
  <si>
    <t>Hyderabad</t>
  </si>
  <si>
    <t>Vivaan Shah</t>
  </si>
  <si>
    <t>Pune</t>
  </si>
  <si>
    <t>Small Business</t>
  </si>
  <si>
    <t>Ishita Jain</t>
  </si>
  <si>
    <t>Jaipur</t>
  </si>
  <si>
    <t>Arjun Das</t>
  </si>
  <si>
    <t>Kolkata</t>
  </si>
  <si>
    <t>East</t>
  </si>
  <si>
    <t>Myra Nair</t>
  </si>
  <si>
    <t>Chennai</t>
  </si>
  <si>
    <t>Rohan Patel</t>
  </si>
  <si>
    <t>Ahmedabad</t>
  </si>
  <si>
    <t>Sara Khan</t>
  </si>
  <si>
    <t>Lucknow</t>
  </si>
  <si>
    <t>Advik Verma</t>
  </si>
  <si>
    <t>Bhopal</t>
  </si>
  <si>
    <t>Central</t>
  </si>
  <si>
    <t>Meera Roy</t>
  </si>
  <si>
    <t>Patna</t>
  </si>
  <si>
    <t>Reyansh Kapoor</t>
  </si>
  <si>
    <t>Surat</t>
  </si>
  <si>
    <t>Kiara Joshi</t>
  </si>
  <si>
    <t>Nagpur</t>
  </si>
  <si>
    <t>Neil Sen</t>
  </si>
  <si>
    <t>Bhubaneswar</t>
  </si>
  <si>
    <t>PIVOT-STYLE BUSINESS ANALYSIS</t>
  </si>
  <si>
    <t>Summary tables for PivotTable practice and dashboard reporting.</t>
  </si>
  <si>
    <t>Orders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</si>
  <si>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</si>
  <si>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</si>
  <si>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</si>
  <si>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</si>
  <si>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</si>
  <si>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</si>
  <si>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</si>
  <si>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</si>
  <si>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</si>
  <si>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</si>
  <si>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</si>
  <si>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</si>
  <si>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</si>
  <si>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&amp; PROFIT ANALYTICS</t>
  </si>
  <si>
    <t>Excel portfolio project • VLOOKUP • SUMIFS • Pivot-style analysis • KPI dashboard</t>
  </si>
  <si>
    <t>TOTAL ORDERS</t>
  </si>
  <si>
    <t>NET SALES</t>
  </si>
  <si>
    <t>TOTAL PROFIT</t>
  </si>
  <si>
    <t>PROFIT MARGIN</t>
  </si>
  <si>
    <t>Excel Portfolio Project - Guide</t>
  </si>
  <si>
    <t>1. Sales_Data contains 300 realistic orders and formula-driven lookup columns.</t>
  </si>
  <si>
    <t>2. Product_Master and Customer_Master are lookup tables.</t>
  </si>
  <si>
    <t>3. Pivot_Analysis contains business summaries by region, category, segment and month.</t>
  </si>
  <si>
    <t>4. Dashboard contains KPI cards and four chart types: horizontal bar, line, doughnut and payment-method bar.</t>
  </si>
  <si>
    <t>5. Practice creating real PivotTables from Sales_Data: Region vs Net Sales, Category vs Profit, Segment vs Orders, Month vs Net Sales.</t>
  </si>
  <si>
    <t>6. Formula skills: VLOOKUP, IFERROR, SUM, SUMIF, SUMIFS, COUNTIF, COUNTA, AVERAGE, 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</si>
</sst>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₹#,##0"/>
    <numFmt numFmtId="166" formatCode="0.0%"/>
    <numFmt numFmtId="167" formatCode="dd\-mmm\-yyyy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167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4" fillId="0" borderId="0" xfId="0" applyFont="1"/>
    <xf numFmtId="0" fontId="0" fillId="0" borderId="0" xfId="0"/>
    <xf numFmtId="165" fontId="1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3" fillId="3" borderId="0" xfId="0" applyFont="1" applyFill="1"/>
    <xf numFmtId="166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4586100.8499999978</c:v>
                </c:pt>
                <c:pt idx="1">
                  <c:v>3068657.2500000005</c:v>
                </c:pt>
                <c:pt idx="2">
                  <c:v>3871319.8500000006</c:v>
                </c:pt>
                <c:pt idx="3">
                  <c:v>4961082.6000000006</c:v>
                </c:pt>
                <c:pt idx="4">
                  <c:v>2075042.65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799-B9DE-04FF3557C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Dashboard!$H$9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Dashboard!$H$10:$H$21</c:f>
              <c:numCache>
                <c:formatCode>General</c:formatCode>
                <c:ptCount val="12"/>
                <c:pt idx="0">
                  <c:v>1427704.65</c:v>
                </c:pt>
                <c:pt idx="1">
                  <c:v>1673143.7500000002</c:v>
                </c:pt>
                <c:pt idx="2">
                  <c:v>923951.85</c:v>
                </c:pt>
                <c:pt idx="3">
                  <c:v>1419704.2000000002</c:v>
                </c:pt>
                <c:pt idx="4">
                  <c:v>1258862.5499999998</c:v>
                </c:pt>
                <c:pt idx="5">
                  <c:v>2624967.5499999998</c:v>
                </c:pt>
                <c:pt idx="6">
                  <c:v>1516865.5</c:v>
                </c:pt>
                <c:pt idx="7">
                  <c:v>2355041.85</c:v>
                </c:pt>
                <c:pt idx="8">
                  <c:v>1312882.05</c:v>
                </c:pt>
                <c:pt idx="9">
                  <c:v>2031338.2000000002</c:v>
                </c:pt>
                <c:pt idx="10">
                  <c:v>583257.79999999993</c:v>
                </c:pt>
                <c:pt idx="11">
                  <c:v>1434483.25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45-4409-A7F7-3B6E572E12D1}"/>
            </c:ext>
          </c:extLst>
        </c:ser>
        <c:ser>
          <c:idx val="1"/>
          <c:order val="1"/>
          <c:tx>
            <c:strRef>
              <c:f>Dashboard!$I$9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Dashboard!$I$10:$I$21</c:f>
              <c:numCache>
                <c:formatCode>General</c:formatCode>
                <c:ptCount val="12"/>
                <c:pt idx="0">
                  <c:v>289204.65000000002</c:v>
                </c:pt>
                <c:pt idx="1">
                  <c:v>347043.75</c:v>
                </c:pt>
                <c:pt idx="2">
                  <c:v>186251.84999999998</c:v>
                </c:pt>
                <c:pt idx="3">
                  <c:v>257504.20000000004</c:v>
                </c:pt>
                <c:pt idx="4">
                  <c:v>288812.55000000005</c:v>
                </c:pt>
                <c:pt idx="5">
                  <c:v>512717.55</c:v>
                </c:pt>
                <c:pt idx="6">
                  <c:v>291165.5</c:v>
                </c:pt>
                <c:pt idx="7">
                  <c:v>493391.85</c:v>
                </c:pt>
                <c:pt idx="8">
                  <c:v>215832.05000000002</c:v>
                </c:pt>
                <c:pt idx="9">
                  <c:v>407388.2</c:v>
                </c:pt>
                <c:pt idx="10">
                  <c:v>115957.80000000002</c:v>
                </c:pt>
                <c:pt idx="11">
                  <c:v>318633.25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45-4409-A7F7-3B6E572E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Mix by Category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Dashboard!$D$10:$D$12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Dashboard!$E$10:$E$12</c:f>
              <c:numCache>
                <c:formatCode>General</c:formatCode>
                <c:ptCount val="3"/>
                <c:pt idx="0">
                  <c:v>16415648.799999997</c:v>
                </c:pt>
                <c:pt idx="1">
                  <c:v>761970.45</c:v>
                </c:pt>
                <c:pt idx="2">
                  <c:v>1384583.9500000002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B-4EAC-A6D4-43C1B9A5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Payment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Dashboard!$L$9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Dashboard!$K$10:$K$14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COD</c:v>
                </c:pt>
              </c:strCache>
            </c:strRef>
          </c:cat>
          <c:val>
            <c:numRef>
              <c:f>Dashboard!$L$10:$L$14</c:f>
              <c:numCache>
                <c:formatCode>General</c:formatCode>
                <c:ptCount val="5"/>
                <c:pt idx="0">
                  <c:v>62</c:v>
                </c:pt>
                <c:pt idx="1">
                  <c:v>64</c:v>
                </c:pt>
                <c:pt idx="2">
                  <c:v>58</c:v>
                </c:pt>
                <c:pt idx="3">
                  <c:v>51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E-4E41-87FB-DB90FED64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S301">
  <autoFilter ref="A1:S301" xr:uid="{00000000-0009-0000-0100-000001000000}"/>
  <tableColumns count="19">
    <tableColumn id="1" xr3:uid="{00000000-0010-0000-0000-000001000000}" name="Order ID"/>
    <tableColumn id="2" xr3:uid="{00000000-0010-0000-0000-000002000000}" name="Order Date"/>
    <tableColumn id="3" xr3:uid="{00000000-0010-0000-0000-000003000000}" name="Customer ID"/>
    <tableColumn id="4" xr3:uid="{00000000-0010-0000-0000-000004000000}" name="Product ID"/>
    <tableColumn id="5" xr3:uid="{00000000-0010-0000-0000-000005000000}" name="Region"/>
    <tableColumn id="6" xr3:uid="{00000000-0010-0000-0000-000006000000}" name="Segment"/>
    <tableColumn id="7" xr3:uid="{00000000-0010-0000-0000-000007000000}" name="Quantity"/>
    <tableColumn id="8" xr3:uid="{00000000-0010-0000-0000-000008000000}" name="Discount %"/>
    <tableColumn id="9" xr3:uid="{00000000-0010-0000-0000-000009000000}" name="Payment Method"/>
    <tableColumn id="10" xr3:uid="{00000000-0010-0000-0000-00000A000000}" name="Order Status"/>
    <tableColumn id="11" xr3:uid="{00000000-0010-0000-0000-00000B000000}" name="Unit Price"/>
    <tableColumn id="12" xr3:uid="{00000000-0010-0000-0000-00000C000000}" name="Product"/>
    <tableColumn id="13" xr3:uid="{00000000-0010-0000-0000-00000D000000}" name="Category"/>
    <tableColumn id="14" xr3:uid="{00000000-0010-0000-0000-00000E000000}" name="Gross Sales"/>
    <tableColumn id="15" xr3:uid="{00000000-0010-0000-0000-00000F000000}" name="Discount Amount"/>
    <tableColumn id="16" xr3:uid="{00000000-0010-0000-0000-000010000000}" name="Net Sales"/>
    <tableColumn id="17" xr3:uid="{00000000-0010-0000-0000-000011000000}" name="Cost"/>
    <tableColumn id="18" xr3:uid="{00000000-0010-0000-0000-000012000000}" name="Profit"/>
    <tableColumn id="19" xr3:uid="{00000000-0010-0000-0000-000013000000}" name="Profit Margi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Table" displayName="ProductTable" ref="A1:F13">
  <autoFilter ref="A1:F13" xr:uid="{00000000-0009-0000-0100-000002000000}"/>
  <tableColumns count="6">
    <tableColumn id="1" xr3:uid="{00000000-0010-0000-0100-000001000000}" name="Product ID"/>
    <tableColumn id="2" xr3:uid="{00000000-0010-0000-0100-000002000000}" name="Product Name"/>
    <tableColumn id="3" xr3:uid="{00000000-0010-0000-0100-000003000000}" name="Category"/>
    <tableColumn id="4" xr3:uid="{00000000-0010-0000-0100-000004000000}" name="Subcategory"/>
    <tableColumn id="5" xr3:uid="{00000000-0010-0000-0100-000005000000}" name="Unit Price"/>
    <tableColumn id="6" xr3:uid="{00000000-0010-0000-0100-000006000000}" name="Cost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Table" displayName="CustomerTable" ref="A1:E16">
  <autoFilter ref="A1:E16" xr:uid="{00000000-0009-0000-0100-000003000000}"/>
  <tableColumns count="5">
    <tableColumn id="1" xr3:uid="{00000000-0010-0000-0200-000001000000}" name="Customer ID"/>
    <tableColumn id="2" xr3:uid="{00000000-0010-0000-0200-000002000000}" name="Customer Name"/>
    <tableColumn id="3" xr3:uid="{00000000-0010-0000-0200-000003000000}" name="City"/>
    <tableColumn id="4" xr3:uid="{00000000-0010-0000-0200-000004000000}" name="Region"/>
    <tableColumn id="5" xr3:uid="{00000000-0010-0000-0200-000005000000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12" customWidth="1"/>
    <col min="5" max="6" width="25" customWidth="1"/>
    <col min="7" max="8" width="12" customWidth="1"/>
    <col min="9" max="9" width="16" customWidth="1"/>
    <col min="10" max="10" width="14" customWidth="1"/>
    <col min="11" max="13" width="25" customWidth="1"/>
    <col min="14" max="14" width="13" customWidth="1"/>
    <col min="15" max="15" width="17" customWidth="1"/>
    <col min="16" max="16" width="12" customWidth="1"/>
    <col min="17" max="17" width="25" customWidth="1"/>
    <col min="18" max="18" width="12" customWidth="1"/>
    <col min="19" max="19" width="2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45896</v>
      </c>
      <c r="C2" t="s">
        <v>20</v>
      </c>
      <c r="D2" t="s">
        <v>21</v>
      </c>
      <c r="E2" t="str">
        <f>IFERROR(VLOOKUP(C2,Customer_Master!$A$2:$E$16,4,FALSE),"")</f>
        <v>South</v>
      </c>
      <c r="F2" t="str">
        <f>IFERROR(VLOOKUP(C2,Customer_Master!$A$2:$E$16,5,FALSE),"")</f>
        <v>Small Business</v>
      </c>
      <c r="G2">
        <v>4</v>
      </c>
      <c r="H2" s="3">
        <v>0.15</v>
      </c>
      <c r="I2" t="s">
        <v>22</v>
      </c>
      <c r="J2" t="s">
        <v>23</v>
      </c>
      <c r="K2" s="4">
        <f>IFERROR(VLOOKUP(D2,Product_Master!$A$2:$F$13,5,FALSE),0)</f>
        <v>1499</v>
      </c>
      <c r="L2" t="str">
        <f>IFERROR(VLOOKUP(D2,Product_Master!$A$2:$F$13,2,FALSE),"")</f>
        <v>Wireless Mouse</v>
      </c>
      <c r="M2" t="str">
        <f>IFERROR(VLOOKUP(D2,Product_Master!$A$2:$F$13,3,FALSE),"")</f>
        <v>Accessories</v>
      </c>
      <c r="N2" s="4">
        <f t="shared" ref="N2:N65" si="0">G2*K2</f>
        <v>5996</v>
      </c>
      <c r="O2" s="4">
        <f t="shared" ref="O2:O65" si="1">N2*H2</f>
        <v>899.4</v>
      </c>
      <c r="P2" s="4">
        <f t="shared" ref="P2:P65" si="2">N2-O2</f>
        <v>5096.6000000000004</v>
      </c>
      <c r="Q2" s="4">
        <f>G2*IFERROR(VLOOKUP(D2,Product_Master!$A$2:$F$13,6,FALSE),0)</f>
        <v>3000</v>
      </c>
      <c r="R2" s="4">
        <f t="shared" ref="R2:R65" si="3">P2-Q2</f>
        <v>2096.6000000000004</v>
      </c>
      <c r="S2" s="5">
        <f t="shared" ref="S2:S65" si="4">IFERROR(R2/P2,0)</f>
        <v>0.4113722874072912</v>
      </c>
    </row>
    <row r="3" spans="1:19" x14ac:dyDescent="0.3">
      <c r="A3" t="s">
        <v>24</v>
      </c>
      <c r="B3" s="2">
        <v>45901</v>
      </c>
      <c r="C3" t="s">
        <v>25</v>
      </c>
      <c r="D3" t="s">
        <v>21</v>
      </c>
      <c r="E3" t="str">
        <f>IFERROR(VLOOKUP(C3,Customer_Master!$A$2:$E$16,4,FALSE),"")</f>
        <v>South</v>
      </c>
      <c r="F3" t="str">
        <f>IFERROR(VLOOKUP(C3,Customer_Master!$A$2:$E$16,5,FALSE),"")</f>
        <v>Corporate</v>
      </c>
      <c r="G3">
        <v>6</v>
      </c>
      <c r="H3" s="3">
        <v>0.15</v>
      </c>
      <c r="I3" t="s">
        <v>26</v>
      </c>
      <c r="J3" t="s">
        <v>23</v>
      </c>
      <c r="K3" s="4">
        <f>IFERROR(VLOOKUP(D3,Product_Master!$A$2:$F$13,5,FALSE),0)</f>
        <v>1499</v>
      </c>
      <c r="L3" t="str">
        <f>IFERROR(VLOOKUP(D3,Product_Master!$A$2:$F$13,2,FALSE),"")</f>
        <v>Wireless Mouse</v>
      </c>
      <c r="M3" t="str">
        <f>IFERROR(VLOOKUP(D3,Product_Master!$A$2:$F$13,3,FALSE),"")</f>
        <v>Accessories</v>
      </c>
      <c r="N3" s="4">
        <f t="shared" si="0"/>
        <v>8994</v>
      </c>
      <c r="O3" s="4">
        <f t="shared" si="1"/>
        <v>1349.1</v>
      </c>
      <c r="P3" s="4">
        <f t="shared" si="2"/>
        <v>7644.9</v>
      </c>
      <c r="Q3" s="4">
        <f>G3*IFERROR(VLOOKUP(D3,Product_Master!$A$2:$F$13,6,FALSE),0)</f>
        <v>4500</v>
      </c>
      <c r="R3" s="4">
        <f t="shared" si="3"/>
        <v>3144.8999999999996</v>
      </c>
      <c r="S3" s="5">
        <f t="shared" si="4"/>
        <v>0.41137228740729109</v>
      </c>
    </row>
    <row r="4" spans="1:19" x14ac:dyDescent="0.3">
      <c r="A4" t="s">
        <v>27</v>
      </c>
      <c r="B4" s="2">
        <v>45730</v>
      </c>
      <c r="C4" t="s">
        <v>20</v>
      </c>
      <c r="D4" t="s">
        <v>28</v>
      </c>
      <c r="E4" t="str">
        <f>IFERROR(VLOOKUP(C4,Customer_Master!$A$2:$E$16,4,FALSE),"")</f>
        <v>South</v>
      </c>
      <c r="F4" t="str">
        <f>IFERROR(VLOOKUP(C4,Customer_Master!$A$2:$E$16,5,FALSE),"")</f>
        <v>Small Business</v>
      </c>
      <c r="G4">
        <v>1</v>
      </c>
      <c r="H4" s="3">
        <v>0.15</v>
      </c>
      <c r="I4" t="s">
        <v>29</v>
      </c>
      <c r="J4" t="s">
        <v>30</v>
      </c>
      <c r="K4" s="4">
        <f>IFERROR(VLOOKUP(D4,Product_Master!$A$2:$F$13,5,FALSE),0)</f>
        <v>28999</v>
      </c>
      <c r="L4" t="str">
        <f>IFERROR(VLOOKUP(D4,Product_Master!$A$2:$F$13,2,FALSE),"")</f>
        <v>Tablet Plus</v>
      </c>
      <c r="M4" t="str">
        <f>IFERROR(VLOOKUP(D4,Product_Master!$A$2:$F$13,3,FALSE),"")</f>
        <v>Electronics</v>
      </c>
      <c r="N4" s="4">
        <f t="shared" si="0"/>
        <v>28999</v>
      </c>
      <c r="O4" s="4">
        <f t="shared" si="1"/>
        <v>4349.8499999999995</v>
      </c>
      <c r="P4" s="4">
        <f t="shared" si="2"/>
        <v>24649.15</v>
      </c>
      <c r="Q4" s="4">
        <f>G4*IFERROR(VLOOKUP(D4,Product_Master!$A$2:$F$13,6,FALSE),0)</f>
        <v>21500</v>
      </c>
      <c r="R4" s="4">
        <f t="shared" si="3"/>
        <v>3149.1500000000015</v>
      </c>
      <c r="S4" s="5">
        <f t="shared" si="4"/>
        <v>0.12775896937622599</v>
      </c>
    </row>
    <row r="5" spans="1:19" x14ac:dyDescent="0.3">
      <c r="A5" t="s">
        <v>31</v>
      </c>
      <c r="B5" s="2">
        <v>45992</v>
      </c>
      <c r="C5" t="s">
        <v>32</v>
      </c>
      <c r="D5" t="s">
        <v>33</v>
      </c>
      <c r="E5" t="str">
        <f>IFERROR(VLOOKUP(C5,Customer_Master!$A$2:$E$16,4,FALSE),"")</f>
        <v>East</v>
      </c>
      <c r="F5" t="str">
        <f>IFERROR(VLOOKUP(C5,Customer_Master!$A$2:$E$16,5,FALSE),"")</f>
        <v>Corporate</v>
      </c>
      <c r="G5">
        <v>6</v>
      </c>
      <c r="H5" s="3">
        <v>0.15</v>
      </c>
      <c r="I5" t="s">
        <v>26</v>
      </c>
      <c r="J5" t="s">
        <v>30</v>
      </c>
      <c r="K5" s="4">
        <f>IFERROR(VLOOKUP(D5,Product_Master!$A$2:$F$13,5,FALSE),0)</f>
        <v>3999</v>
      </c>
      <c r="L5" t="str">
        <f>IFERROR(VLOOKUP(D5,Product_Master!$A$2:$F$13,2,FALSE),"")</f>
        <v>Mechanical Keyboard</v>
      </c>
      <c r="M5" t="str">
        <f>IFERROR(VLOOKUP(D5,Product_Master!$A$2:$F$13,3,FALSE),"")</f>
        <v>Accessories</v>
      </c>
      <c r="N5" s="4">
        <f t="shared" si="0"/>
        <v>23994</v>
      </c>
      <c r="O5" s="4">
        <f t="shared" si="1"/>
        <v>3599.1</v>
      </c>
      <c r="P5" s="4">
        <f t="shared" si="2"/>
        <v>20394.900000000001</v>
      </c>
      <c r="Q5" s="4">
        <f>G5*IFERROR(VLOOKUP(D5,Product_Master!$A$2:$F$13,6,FALSE),0)</f>
        <v>14100</v>
      </c>
      <c r="R5" s="4">
        <f t="shared" si="3"/>
        <v>6294.9000000000015</v>
      </c>
      <c r="S5" s="5">
        <f t="shared" si="4"/>
        <v>0.30865069208478596</v>
      </c>
    </row>
    <row r="6" spans="1:19" x14ac:dyDescent="0.3">
      <c r="A6" t="s">
        <v>34</v>
      </c>
      <c r="B6" s="2">
        <v>45690</v>
      </c>
      <c r="C6" t="s">
        <v>35</v>
      </c>
      <c r="D6" t="s">
        <v>21</v>
      </c>
      <c r="E6" t="str">
        <f>IFERROR(VLOOKUP(C6,Customer_Master!$A$2:$E$16,4,FALSE),"")</f>
        <v>North</v>
      </c>
      <c r="F6" t="str">
        <f>IFERROR(VLOOKUP(C6,Customer_Master!$A$2:$E$16,5,FALSE),"")</f>
        <v>Corporate</v>
      </c>
      <c r="G6">
        <v>1</v>
      </c>
      <c r="H6" s="3">
        <v>0</v>
      </c>
      <c r="I6" t="s">
        <v>26</v>
      </c>
      <c r="J6" t="s">
        <v>23</v>
      </c>
      <c r="K6" s="4">
        <f>IFERROR(VLOOKUP(D6,Product_Master!$A$2:$F$13,5,FALSE),0)</f>
        <v>1499</v>
      </c>
      <c r="L6" t="str">
        <f>IFERROR(VLOOKUP(D6,Product_Master!$A$2:$F$13,2,FALSE),"")</f>
        <v>Wireless Mouse</v>
      </c>
      <c r="M6" t="str">
        <f>IFERROR(VLOOKUP(D6,Product_Master!$A$2:$F$13,3,FALSE),"")</f>
        <v>Accessories</v>
      </c>
      <c r="N6" s="4">
        <f t="shared" si="0"/>
        <v>1499</v>
      </c>
      <c r="O6" s="4">
        <f t="shared" si="1"/>
        <v>0</v>
      </c>
      <c r="P6" s="4">
        <f t="shared" si="2"/>
        <v>1499</v>
      </c>
      <c r="Q6" s="4">
        <f>G6*IFERROR(VLOOKUP(D6,Product_Master!$A$2:$F$13,6,FALSE),0)</f>
        <v>750</v>
      </c>
      <c r="R6" s="4">
        <f t="shared" si="3"/>
        <v>749</v>
      </c>
      <c r="S6" s="5">
        <f t="shared" si="4"/>
        <v>0.49966644429619744</v>
      </c>
    </row>
    <row r="7" spans="1:19" x14ac:dyDescent="0.3">
      <c r="A7" t="s">
        <v>36</v>
      </c>
      <c r="B7" s="2">
        <v>45895</v>
      </c>
      <c r="C7" t="s">
        <v>37</v>
      </c>
      <c r="D7" t="s">
        <v>38</v>
      </c>
      <c r="E7" t="str">
        <f>IFERROR(VLOOKUP(C7,Customer_Master!$A$2:$E$16,4,FALSE),"")</f>
        <v>North</v>
      </c>
      <c r="F7" t="str">
        <f>IFERROR(VLOOKUP(C7,Customer_Master!$A$2:$E$16,5,FALSE),"")</f>
        <v>Consumer</v>
      </c>
      <c r="G7">
        <v>3</v>
      </c>
      <c r="H7" s="3">
        <v>0.1</v>
      </c>
      <c r="I7" t="s">
        <v>22</v>
      </c>
      <c r="J7" t="s">
        <v>23</v>
      </c>
      <c r="K7" s="4">
        <f>IFERROR(VLOOKUP(D7,Product_Master!$A$2:$F$13,5,FALSE),0)</f>
        <v>74999</v>
      </c>
      <c r="L7" t="str">
        <f>IFERROR(VLOOKUP(D7,Product_Master!$A$2:$F$13,2,FALSE),"")</f>
        <v>Laptop Pro 14</v>
      </c>
      <c r="M7" t="str">
        <f>IFERROR(VLOOKUP(D7,Product_Master!$A$2:$F$13,3,FALSE),"")</f>
        <v>Electronics</v>
      </c>
      <c r="N7" s="4">
        <f t="shared" si="0"/>
        <v>224997</v>
      </c>
      <c r="O7" s="4">
        <f t="shared" si="1"/>
        <v>22499.7</v>
      </c>
      <c r="P7" s="4">
        <f t="shared" si="2"/>
        <v>202497.3</v>
      </c>
      <c r="Q7" s="4">
        <f>G7*IFERROR(VLOOKUP(D7,Product_Master!$A$2:$F$13,6,FALSE),0)</f>
        <v>175500</v>
      </c>
      <c r="R7" s="4">
        <f t="shared" si="3"/>
        <v>26997.299999999988</v>
      </c>
      <c r="S7" s="5">
        <f t="shared" si="4"/>
        <v>0.13332177762370159</v>
      </c>
    </row>
    <row r="8" spans="1:19" x14ac:dyDescent="0.3">
      <c r="A8" t="s">
        <v>39</v>
      </c>
      <c r="B8" s="2">
        <v>45985</v>
      </c>
      <c r="C8" t="s">
        <v>40</v>
      </c>
      <c r="D8" t="s">
        <v>41</v>
      </c>
      <c r="E8" t="str">
        <f>IFERROR(VLOOKUP(C8,Customer_Master!$A$2:$E$16,4,FALSE),"")</f>
        <v>West</v>
      </c>
      <c r="F8" t="str">
        <f>IFERROR(VLOOKUP(C8,Customer_Master!$A$2:$E$16,5,FALSE),"")</f>
        <v>Corporate</v>
      </c>
      <c r="G8">
        <v>3</v>
      </c>
      <c r="H8" s="3">
        <v>0.1</v>
      </c>
      <c r="I8" t="s">
        <v>29</v>
      </c>
      <c r="J8" t="s">
        <v>23</v>
      </c>
      <c r="K8" s="4">
        <f>IFERROR(VLOOKUP(D8,Product_Master!$A$2:$F$13,5,FALSE),0)</f>
        <v>24999</v>
      </c>
      <c r="L8" t="str">
        <f>IFERROR(VLOOKUP(D8,Product_Master!$A$2:$F$13,2,FALSE),"")</f>
        <v>Smartphone Lite</v>
      </c>
      <c r="M8" t="str">
        <f>IFERROR(VLOOKUP(D8,Product_Master!$A$2:$F$13,3,FALSE),"")</f>
        <v>Electronics</v>
      </c>
      <c r="N8" s="4">
        <f t="shared" si="0"/>
        <v>74997</v>
      </c>
      <c r="O8" s="4">
        <f t="shared" si="1"/>
        <v>7499.7000000000007</v>
      </c>
      <c r="P8" s="4">
        <f t="shared" si="2"/>
        <v>67497.3</v>
      </c>
      <c r="Q8" s="4">
        <f>G8*IFERROR(VLOOKUP(D8,Product_Master!$A$2:$F$13,6,FALSE),0)</f>
        <v>55500</v>
      </c>
      <c r="R8" s="4">
        <f t="shared" si="3"/>
        <v>11997.300000000003</v>
      </c>
      <c r="S8" s="5">
        <f t="shared" si="4"/>
        <v>0.17774488757328075</v>
      </c>
    </row>
    <row r="9" spans="1:19" x14ac:dyDescent="0.3">
      <c r="A9" t="s">
        <v>42</v>
      </c>
      <c r="B9" s="2">
        <v>45800</v>
      </c>
      <c r="C9" t="s">
        <v>20</v>
      </c>
      <c r="D9" t="s">
        <v>43</v>
      </c>
      <c r="E9" t="str">
        <f>IFERROR(VLOOKUP(C9,Customer_Master!$A$2:$E$16,4,FALSE),"")</f>
        <v>South</v>
      </c>
      <c r="F9" t="str">
        <f>IFERROR(VLOOKUP(C9,Customer_Master!$A$2:$E$16,5,FALSE),"")</f>
        <v>Small Business</v>
      </c>
      <c r="G9">
        <v>4</v>
      </c>
      <c r="H9" s="3">
        <v>0.15</v>
      </c>
      <c r="I9" t="s">
        <v>29</v>
      </c>
      <c r="J9" t="s">
        <v>23</v>
      </c>
      <c r="K9" s="4">
        <f>IFERROR(VLOOKUP(D9,Product_Master!$A$2:$F$13,5,FALSE),0)</f>
        <v>8999</v>
      </c>
      <c r="L9" t="str">
        <f>IFERROR(VLOOKUP(D9,Product_Master!$A$2:$F$13,2,FALSE),"")</f>
        <v>Office Chair</v>
      </c>
      <c r="M9" t="str">
        <f>IFERROR(VLOOKUP(D9,Product_Master!$A$2:$F$13,3,FALSE),"")</f>
        <v>Furniture</v>
      </c>
      <c r="N9" s="4">
        <f t="shared" si="0"/>
        <v>35996</v>
      </c>
      <c r="O9" s="4">
        <f t="shared" si="1"/>
        <v>5399.4</v>
      </c>
      <c r="P9" s="4">
        <f t="shared" si="2"/>
        <v>30596.6</v>
      </c>
      <c r="Q9" s="4">
        <f>G9*IFERROR(VLOOKUP(D9,Product_Master!$A$2:$F$13,6,FALSE),0)</f>
        <v>24400</v>
      </c>
      <c r="R9" s="4">
        <f t="shared" si="3"/>
        <v>6196.5999999999985</v>
      </c>
      <c r="S9" s="5">
        <f t="shared" si="4"/>
        <v>0.20252577083728254</v>
      </c>
    </row>
    <row r="10" spans="1:19" x14ac:dyDescent="0.3">
      <c r="A10" t="s">
        <v>44</v>
      </c>
      <c r="B10" s="2">
        <v>45920</v>
      </c>
      <c r="C10" t="s">
        <v>45</v>
      </c>
      <c r="D10" t="s">
        <v>41</v>
      </c>
      <c r="E10" t="str">
        <f>IFERROR(VLOOKUP(C10,Customer_Master!$A$2:$E$16,4,FALSE),"")</f>
        <v>North</v>
      </c>
      <c r="F10" t="str">
        <f>IFERROR(VLOOKUP(C10,Customer_Master!$A$2:$E$16,5,FALSE),"")</f>
        <v>Consumer</v>
      </c>
      <c r="G10">
        <v>3</v>
      </c>
      <c r="H10" s="3">
        <v>0</v>
      </c>
      <c r="I10" t="s">
        <v>29</v>
      </c>
      <c r="J10" t="s">
        <v>30</v>
      </c>
      <c r="K10" s="4">
        <f>IFERROR(VLOOKUP(D10,Product_Master!$A$2:$F$13,5,FALSE),0)</f>
        <v>24999</v>
      </c>
      <c r="L10" t="str">
        <f>IFERROR(VLOOKUP(D10,Product_Master!$A$2:$F$13,2,FALSE),"")</f>
        <v>Smartphone Lite</v>
      </c>
      <c r="M10" t="str">
        <f>IFERROR(VLOOKUP(D10,Product_Master!$A$2:$F$13,3,FALSE),"")</f>
        <v>Electronics</v>
      </c>
      <c r="N10" s="4">
        <f t="shared" si="0"/>
        <v>74997</v>
      </c>
      <c r="O10" s="4">
        <f t="shared" si="1"/>
        <v>0</v>
      </c>
      <c r="P10" s="4">
        <f t="shared" si="2"/>
        <v>74997</v>
      </c>
      <c r="Q10" s="4">
        <f>G10*IFERROR(VLOOKUP(D10,Product_Master!$A$2:$F$13,6,FALSE),0)</f>
        <v>55500</v>
      </c>
      <c r="R10" s="4">
        <f t="shared" si="3"/>
        <v>19497</v>
      </c>
      <c r="S10" s="5">
        <f t="shared" si="4"/>
        <v>0.25997039881595263</v>
      </c>
    </row>
    <row r="11" spans="1:19" x14ac:dyDescent="0.3">
      <c r="A11" t="s">
        <v>46</v>
      </c>
      <c r="B11" s="2">
        <v>45863</v>
      </c>
      <c r="C11" t="s">
        <v>47</v>
      </c>
      <c r="D11" t="s">
        <v>48</v>
      </c>
      <c r="E11" t="str">
        <f>IFERROR(VLOOKUP(C11,Customer_Master!$A$2:$E$16,4,FALSE),"")</f>
        <v>West</v>
      </c>
      <c r="F11" t="str">
        <f>IFERROR(VLOOKUP(C11,Customer_Master!$A$2:$E$16,5,FALSE),"")</f>
        <v>Corporate</v>
      </c>
      <c r="G11">
        <v>1</v>
      </c>
      <c r="H11" s="3">
        <v>0.05</v>
      </c>
      <c r="I11" t="s">
        <v>49</v>
      </c>
      <c r="J11" t="s">
        <v>23</v>
      </c>
      <c r="K11" s="4">
        <f>IFERROR(VLOOKUP(D11,Product_Master!$A$2:$F$13,5,FALSE),0)</f>
        <v>62999</v>
      </c>
      <c r="L11" t="str">
        <f>IFERROR(VLOOKUP(D11,Product_Master!$A$2:$F$13,2,FALSE),"")</f>
        <v>Laptop Air 13</v>
      </c>
      <c r="M11" t="str">
        <f>IFERROR(VLOOKUP(D11,Product_Master!$A$2:$F$13,3,FALSE),"")</f>
        <v>Electronics</v>
      </c>
      <c r="N11" s="4">
        <f t="shared" si="0"/>
        <v>62999</v>
      </c>
      <c r="O11" s="4">
        <f t="shared" si="1"/>
        <v>3149.9500000000003</v>
      </c>
      <c r="P11" s="4">
        <f t="shared" si="2"/>
        <v>59849.05</v>
      </c>
      <c r="Q11" s="4">
        <f>G11*IFERROR(VLOOKUP(D11,Product_Master!$A$2:$F$13,6,FALSE),0)</f>
        <v>49000</v>
      </c>
      <c r="R11" s="4">
        <f t="shared" si="3"/>
        <v>10849.050000000003</v>
      </c>
      <c r="S11" s="5">
        <f t="shared" si="4"/>
        <v>0.18127355404973014</v>
      </c>
    </row>
    <row r="12" spans="1:19" x14ac:dyDescent="0.3">
      <c r="A12" t="s">
        <v>50</v>
      </c>
      <c r="B12" s="2">
        <v>45658</v>
      </c>
      <c r="C12" t="s">
        <v>35</v>
      </c>
      <c r="D12" t="s">
        <v>43</v>
      </c>
      <c r="E12" t="str">
        <f>IFERROR(VLOOKUP(C12,Customer_Master!$A$2:$E$16,4,FALSE),"")</f>
        <v>North</v>
      </c>
      <c r="F12" t="str">
        <f>IFERROR(VLOOKUP(C12,Customer_Master!$A$2:$E$16,5,FALSE),"")</f>
        <v>Corporate</v>
      </c>
      <c r="G12">
        <v>2</v>
      </c>
      <c r="H12" s="3">
        <v>0.05</v>
      </c>
      <c r="I12" t="s">
        <v>29</v>
      </c>
      <c r="J12" t="s">
        <v>23</v>
      </c>
      <c r="K12" s="4">
        <f>IFERROR(VLOOKUP(D12,Product_Master!$A$2:$F$13,5,FALSE),0)</f>
        <v>8999</v>
      </c>
      <c r="L12" t="str">
        <f>IFERROR(VLOOKUP(D12,Product_Master!$A$2:$F$13,2,FALSE),"")</f>
        <v>Office Chair</v>
      </c>
      <c r="M12" t="str">
        <f>IFERROR(VLOOKUP(D12,Product_Master!$A$2:$F$13,3,FALSE),"")</f>
        <v>Furniture</v>
      </c>
      <c r="N12" s="4">
        <f t="shared" si="0"/>
        <v>17998</v>
      </c>
      <c r="O12" s="4">
        <f t="shared" si="1"/>
        <v>899.90000000000009</v>
      </c>
      <c r="P12" s="4">
        <f t="shared" si="2"/>
        <v>17098.099999999999</v>
      </c>
      <c r="Q12" s="4">
        <f>G12*IFERROR(VLOOKUP(D12,Product_Master!$A$2:$F$13,6,FALSE),0)</f>
        <v>12200</v>
      </c>
      <c r="R12" s="4">
        <f t="shared" si="3"/>
        <v>4898.0999999999985</v>
      </c>
      <c r="S12" s="5">
        <f t="shared" si="4"/>
        <v>0.2864704265386212</v>
      </c>
    </row>
    <row r="13" spans="1:19" x14ac:dyDescent="0.3">
      <c r="A13" t="s">
        <v>51</v>
      </c>
      <c r="B13" s="2">
        <v>45861</v>
      </c>
      <c r="C13" t="s">
        <v>32</v>
      </c>
      <c r="D13" t="s">
        <v>52</v>
      </c>
      <c r="E13" t="str">
        <f>IFERROR(VLOOKUP(C13,Customer_Master!$A$2:$E$16,4,FALSE),"")</f>
        <v>East</v>
      </c>
      <c r="F13" t="str">
        <f>IFERROR(VLOOKUP(C13,Customer_Master!$A$2:$E$16,5,FALSE),"")</f>
        <v>Corporate</v>
      </c>
      <c r="G13">
        <v>4</v>
      </c>
      <c r="H13" s="3">
        <v>0</v>
      </c>
      <c r="I13" t="s">
        <v>22</v>
      </c>
      <c r="J13" t="s">
        <v>23</v>
      </c>
      <c r="K13" s="4">
        <f>IFERROR(VLOOKUP(D13,Product_Master!$A$2:$F$13,5,FALSE),0)</f>
        <v>6999</v>
      </c>
      <c r="L13" t="str">
        <f>IFERROR(VLOOKUP(D13,Product_Master!$A$2:$F$13,2,FALSE),"")</f>
        <v>Study Desk</v>
      </c>
      <c r="M13" t="str">
        <f>IFERROR(VLOOKUP(D13,Product_Master!$A$2:$F$13,3,FALSE),"")</f>
        <v>Furniture</v>
      </c>
      <c r="N13" s="4">
        <f t="shared" si="0"/>
        <v>27996</v>
      </c>
      <c r="O13" s="4">
        <f t="shared" si="1"/>
        <v>0</v>
      </c>
      <c r="P13" s="4">
        <f t="shared" si="2"/>
        <v>27996</v>
      </c>
      <c r="Q13" s="4">
        <f>G13*IFERROR(VLOOKUP(D13,Product_Master!$A$2:$F$13,6,FALSE),0)</f>
        <v>18000</v>
      </c>
      <c r="R13" s="4">
        <f t="shared" si="3"/>
        <v>9996</v>
      </c>
      <c r="S13" s="5">
        <f t="shared" si="4"/>
        <v>0.35705100728675526</v>
      </c>
    </row>
    <row r="14" spans="1:19" x14ac:dyDescent="0.3">
      <c r="A14" t="s">
        <v>53</v>
      </c>
      <c r="B14" s="2">
        <v>45796</v>
      </c>
      <c r="C14" t="s">
        <v>47</v>
      </c>
      <c r="D14" t="s">
        <v>43</v>
      </c>
      <c r="E14" t="str">
        <f>IFERROR(VLOOKUP(C14,Customer_Master!$A$2:$E$16,4,FALSE),"")</f>
        <v>West</v>
      </c>
      <c r="F14" t="str">
        <f>IFERROR(VLOOKUP(C14,Customer_Master!$A$2:$E$16,5,FALSE),"")</f>
        <v>Corporate</v>
      </c>
      <c r="G14">
        <v>3</v>
      </c>
      <c r="H14" s="3">
        <v>0</v>
      </c>
      <c r="I14" t="s">
        <v>54</v>
      </c>
      <c r="J14" t="s">
        <v>23</v>
      </c>
      <c r="K14" s="4">
        <f>IFERROR(VLOOKUP(D14,Product_Master!$A$2:$F$13,5,FALSE),0)</f>
        <v>8999</v>
      </c>
      <c r="L14" t="str">
        <f>IFERROR(VLOOKUP(D14,Product_Master!$A$2:$F$13,2,FALSE),"")</f>
        <v>Office Chair</v>
      </c>
      <c r="M14" t="str">
        <f>IFERROR(VLOOKUP(D14,Product_Master!$A$2:$F$13,3,FALSE),"")</f>
        <v>Furniture</v>
      </c>
      <c r="N14" s="4">
        <f t="shared" si="0"/>
        <v>26997</v>
      </c>
      <c r="O14" s="4">
        <f t="shared" si="1"/>
        <v>0</v>
      </c>
      <c r="P14" s="4">
        <f t="shared" si="2"/>
        <v>26997</v>
      </c>
      <c r="Q14" s="4">
        <f>G14*IFERROR(VLOOKUP(D14,Product_Master!$A$2:$F$13,6,FALSE),0)</f>
        <v>18300</v>
      </c>
      <c r="R14" s="4">
        <f t="shared" si="3"/>
        <v>8697</v>
      </c>
      <c r="S14" s="5">
        <f t="shared" si="4"/>
        <v>0.3221469052116902</v>
      </c>
    </row>
    <row r="15" spans="1:19" x14ac:dyDescent="0.3">
      <c r="A15" t="s">
        <v>55</v>
      </c>
      <c r="B15" s="2">
        <v>45718</v>
      </c>
      <c r="C15" t="s">
        <v>35</v>
      </c>
      <c r="D15" t="s">
        <v>56</v>
      </c>
      <c r="E15" t="str">
        <f>IFERROR(VLOOKUP(C15,Customer_Master!$A$2:$E$16,4,FALSE),"")</f>
        <v>North</v>
      </c>
      <c r="F15" t="str">
        <f>IFERROR(VLOOKUP(C15,Customer_Master!$A$2:$E$16,5,FALSE),"")</f>
        <v>Corporate</v>
      </c>
      <c r="G15">
        <v>2</v>
      </c>
      <c r="H15" s="3">
        <v>0.05</v>
      </c>
      <c r="I15" t="s">
        <v>29</v>
      </c>
      <c r="J15" t="s">
        <v>23</v>
      </c>
      <c r="K15" s="4">
        <f>IFERROR(VLOOKUP(D15,Product_Master!$A$2:$F$13,5,FALSE),0)</f>
        <v>3499</v>
      </c>
      <c r="L15" t="str">
        <f>IFERROR(VLOOKUP(D15,Product_Master!$A$2:$F$13,2,FALSE),"")</f>
        <v>Bluetooth Speaker</v>
      </c>
      <c r="M15" t="str">
        <f>IFERROR(VLOOKUP(D15,Product_Master!$A$2:$F$13,3,FALSE),"")</f>
        <v>Electronics</v>
      </c>
      <c r="N15" s="4">
        <f t="shared" si="0"/>
        <v>6998</v>
      </c>
      <c r="O15" s="4">
        <f t="shared" si="1"/>
        <v>349.90000000000003</v>
      </c>
      <c r="P15" s="4">
        <f t="shared" si="2"/>
        <v>6648.1</v>
      </c>
      <c r="Q15" s="4">
        <f>G15*IFERROR(VLOOKUP(D15,Product_Master!$A$2:$F$13,6,FALSE),0)</f>
        <v>4100</v>
      </c>
      <c r="R15" s="4">
        <f t="shared" si="3"/>
        <v>2548.1000000000004</v>
      </c>
      <c r="S15" s="5">
        <f t="shared" si="4"/>
        <v>0.38328244159985564</v>
      </c>
    </row>
    <row r="16" spans="1:19" x14ac:dyDescent="0.3">
      <c r="A16" t="s">
        <v>57</v>
      </c>
      <c r="B16" s="2">
        <v>45907</v>
      </c>
      <c r="C16" t="s">
        <v>35</v>
      </c>
      <c r="D16" t="s">
        <v>33</v>
      </c>
      <c r="E16" t="str">
        <f>IFERROR(VLOOKUP(C16,Customer_Master!$A$2:$E$16,4,FALSE),"")</f>
        <v>North</v>
      </c>
      <c r="F16" t="str">
        <f>IFERROR(VLOOKUP(C16,Customer_Master!$A$2:$E$16,5,FALSE),"")</f>
        <v>Corporate</v>
      </c>
      <c r="G16">
        <v>2</v>
      </c>
      <c r="H16" s="3">
        <v>0.15</v>
      </c>
      <c r="I16" t="s">
        <v>26</v>
      </c>
      <c r="J16" t="s">
        <v>23</v>
      </c>
      <c r="K16" s="4">
        <f>IFERROR(VLOOKUP(D16,Product_Master!$A$2:$F$13,5,FALSE),0)</f>
        <v>3999</v>
      </c>
      <c r="L16" t="str">
        <f>IFERROR(VLOOKUP(D16,Product_Master!$A$2:$F$13,2,FALSE),"")</f>
        <v>Mechanical Keyboard</v>
      </c>
      <c r="M16" t="str">
        <f>IFERROR(VLOOKUP(D16,Product_Master!$A$2:$F$13,3,FALSE),"")</f>
        <v>Accessories</v>
      </c>
      <c r="N16" s="4">
        <f t="shared" si="0"/>
        <v>7998</v>
      </c>
      <c r="O16" s="4">
        <f t="shared" si="1"/>
        <v>1199.7</v>
      </c>
      <c r="P16" s="4">
        <f t="shared" si="2"/>
        <v>6798.3</v>
      </c>
      <c r="Q16" s="4">
        <f>G16*IFERROR(VLOOKUP(D16,Product_Master!$A$2:$F$13,6,FALSE),0)</f>
        <v>4700</v>
      </c>
      <c r="R16" s="4">
        <f t="shared" si="3"/>
        <v>2098.3000000000002</v>
      </c>
      <c r="S16" s="5">
        <f t="shared" si="4"/>
        <v>0.3086506920847859</v>
      </c>
    </row>
    <row r="17" spans="1:19" x14ac:dyDescent="0.3">
      <c r="A17" t="s">
        <v>58</v>
      </c>
      <c r="B17" s="2">
        <v>45725</v>
      </c>
      <c r="C17" t="s">
        <v>40</v>
      </c>
      <c r="D17" t="s">
        <v>41</v>
      </c>
      <c r="E17" t="str">
        <f>IFERROR(VLOOKUP(C17,Customer_Master!$A$2:$E$16,4,FALSE),"")</f>
        <v>West</v>
      </c>
      <c r="F17" t="str">
        <f>IFERROR(VLOOKUP(C17,Customer_Master!$A$2:$E$16,5,FALSE),"")</f>
        <v>Corporate</v>
      </c>
      <c r="G17">
        <v>4</v>
      </c>
      <c r="H17" s="3">
        <v>0.1</v>
      </c>
      <c r="I17" t="s">
        <v>29</v>
      </c>
      <c r="J17" t="s">
        <v>23</v>
      </c>
      <c r="K17" s="4">
        <f>IFERROR(VLOOKUP(D17,Product_Master!$A$2:$F$13,5,FALSE),0)</f>
        <v>24999</v>
      </c>
      <c r="L17" t="str">
        <f>IFERROR(VLOOKUP(D17,Product_Master!$A$2:$F$13,2,FALSE),"")</f>
        <v>Smartphone Lite</v>
      </c>
      <c r="M17" t="str">
        <f>IFERROR(VLOOKUP(D17,Product_Master!$A$2:$F$13,3,FALSE),"")</f>
        <v>Electronics</v>
      </c>
      <c r="N17" s="4">
        <f t="shared" si="0"/>
        <v>99996</v>
      </c>
      <c r="O17" s="4">
        <f t="shared" si="1"/>
        <v>9999.6</v>
      </c>
      <c r="P17" s="4">
        <f t="shared" si="2"/>
        <v>89996.4</v>
      </c>
      <c r="Q17" s="4">
        <f>G17*IFERROR(VLOOKUP(D17,Product_Master!$A$2:$F$13,6,FALSE),0)</f>
        <v>74000</v>
      </c>
      <c r="R17" s="4">
        <f t="shared" si="3"/>
        <v>15996.399999999994</v>
      </c>
      <c r="S17" s="5">
        <f t="shared" si="4"/>
        <v>0.17774488757328066</v>
      </c>
    </row>
    <row r="18" spans="1:19" x14ac:dyDescent="0.3">
      <c r="A18" t="s">
        <v>59</v>
      </c>
      <c r="B18" s="2">
        <v>45658</v>
      </c>
      <c r="C18" t="s">
        <v>32</v>
      </c>
      <c r="D18" t="s">
        <v>41</v>
      </c>
      <c r="E18" t="str">
        <f>IFERROR(VLOOKUP(C18,Customer_Master!$A$2:$E$16,4,FALSE),"")</f>
        <v>East</v>
      </c>
      <c r="F18" t="str">
        <f>IFERROR(VLOOKUP(C18,Customer_Master!$A$2:$E$16,5,FALSE),"")</f>
        <v>Corporate</v>
      </c>
      <c r="G18">
        <v>3</v>
      </c>
      <c r="H18" s="3">
        <v>0.15</v>
      </c>
      <c r="I18" t="s">
        <v>54</v>
      </c>
      <c r="J18" t="s">
        <v>23</v>
      </c>
      <c r="K18" s="4">
        <f>IFERROR(VLOOKUP(D18,Product_Master!$A$2:$F$13,5,FALSE),0)</f>
        <v>24999</v>
      </c>
      <c r="L18" t="str">
        <f>IFERROR(VLOOKUP(D18,Product_Master!$A$2:$F$13,2,FALSE),"")</f>
        <v>Smartphone Lite</v>
      </c>
      <c r="M18" t="str">
        <f>IFERROR(VLOOKUP(D18,Product_Master!$A$2:$F$13,3,FALSE),"")</f>
        <v>Electronics</v>
      </c>
      <c r="N18" s="4">
        <f t="shared" si="0"/>
        <v>74997</v>
      </c>
      <c r="O18" s="4">
        <f t="shared" si="1"/>
        <v>11249.55</v>
      </c>
      <c r="P18" s="4">
        <f t="shared" si="2"/>
        <v>63747.45</v>
      </c>
      <c r="Q18" s="4">
        <f>G18*IFERROR(VLOOKUP(D18,Product_Master!$A$2:$F$13,6,FALSE),0)</f>
        <v>55500</v>
      </c>
      <c r="R18" s="4">
        <f t="shared" si="3"/>
        <v>8247.4499999999971</v>
      </c>
      <c r="S18" s="5">
        <f t="shared" si="4"/>
        <v>0.12937693978347364</v>
      </c>
    </row>
    <row r="19" spans="1:19" x14ac:dyDescent="0.3">
      <c r="A19" t="s">
        <v>60</v>
      </c>
      <c r="B19" s="2">
        <v>45859</v>
      </c>
      <c r="C19" t="s">
        <v>61</v>
      </c>
      <c r="D19" t="s">
        <v>62</v>
      </c>
      <c r="E19" t="str">
        <f>IFERROR(VLOOKUP(C19,Customer_Master!$A$2:$E$16,4,FALSE),"")</f>
        <v>South</v>
      </c>
      <c r="F19" t="str">
        <f>IFERROR(VLOOKUP(C19,Customer_Master!$A$2:$E$16,5,FALSE),"")</f>
        <v>Consumer</v>
      </c>
      <c r="G19">
        <v>5</v>
      </c>
      <c r="H19" s="3">
        <v>0.15</v>
      </c>
      <c r="I19" t="s">
        <v>29</v>
      </c>
      <c r="J19" t="s">
        <v>23</v>
      </c>
      <c r="K19" s="4">
        <f>IFERROR(VLOOKUP(D19,Product_Master!$A$2:$F$13,5,FALSE),0)</f>
        <v>39999</v>
      </c>
      <c r="L19" t="str">
        <f>IFERROR(VLOOKUP(D19,Product_Master!$A$2:$F$13,2,FALSE),"")</f>
        <v>Smartphone X</v>
      </c>
      <c r="M19" t="str">
        <f>IFERROR(VLOOKUP(D19,Product_Master!$A$2:$F$13,3,FALSE),"")</f>
        <v>Electronics</v>
      </c>
      <c r="N19" s="4">
        <f t="shared" si="0"/>
        <v>199995</v>
      </c>
      <c r="O19" s="4">
        <f t="shared" si="1"/>
        <v>29999.25</v>
      </c>
      <c r="P19" s="4">
        <f t="shared" si="2"/>
        <v>169995.75</v>
      </c>
      <c r="Q19" s="4">
        <f>G19*IFERROR(VLOOKUP(D19,Product_Master!$A$2:$F$13,6,FALSE),0)</f>
        <v>150000</v>
      </c>
      <c r="R19" s="4">
        <f t="shared" si="3"/>
        <v>19995.75</v>
      </c>
      <c r="S19" s="5">
        <f t="shared" si="4"/>
        <v>0.11762499944851562</v>
      </c>
    </row>
    <row r="20" spans="1:19" x14ac:dyDescent="0.3">
      <c r="A20" t="s">
        <v>63</v>
      </c>
      <c r="B20" s="2">
        <v>45884</v>
      </c>
      <c r="C20" t="s">
        <v>25</v>
      </c>
      <c r="D20" t="s">
        <v>41</v>
      </c>
      <c r="E20" t="str">
        <f>IFERROR(VLOOKUP(C20,Customer_Master!$A$2:$E$16,4,FALSE),"")</f>
        <v>South</v>
      </c>
      <c r="F20" t="str">
        <f>IFERROR(VLOOKUP(C20,Customer_Master!$A$2:$E$16,5,FALSE),"")</f>
        <v>Corporate</v>
      </c>
      <c r="G20">
        <v>3</v>
      </c>
      <c r="H20" s="3">
        <v>0</v>
      </c>
      <c r="I20" t="s">
        <v>22</v>
      </c>
      <c r="J20" t="s">
        <v>23</v>
      </c>
      <c r="K20" s="4">
        <f>IFERROR(VLOOKUP(D20,Product_Master!$A$2:$F$13,5,FALSE),0)</f>
        <v>24999</v>
      </c>
      <c r="L20" t="str">
        <f>IFERROR(VLOOKUP(D20,Product_Master!$A$2:$F$13,2,FALSE),"")</f>
        <v>Smartphone Lite</v>
      </c>
      <c r="M20" t="str">
        <f>IFERROR(VLOOKUP(D20,Product_Master!$A$2:$F$13,3,FALSE),"")</f>
        <v>Electronics</v>
      </c>
      <c r="N20" s="4">
        <f t="shared" si="0"/>
        <v>74997</v>
      </c>
      <c r="O20" s="4">
        <f t="shared" si="1"/>
        <v>0</v>
      </c>
      <c r="P20" s="4">
        <f t="shared" si="2"/>
        <v>74997</v>
      </c>
      <c r="Q20" s="4">
        <f>G20*IFERROR(VLOOKUP(D20,Product_Master!$A$2:$F$13,6,FALSE),0)</f>
        <v>55500</v>
      </c>
      <c r="R20" s="4">
        <f t="shared" si="3"/>
        <v>19497</v>
      </c>
      <c r="S20" s="5">
        <f t="shared" si="4"/>
        <v>0.25997039881595263</v>
      </c>
    </row>
    <row r="21" spans="1:19" x14ac:dyDescent="0.3">
      <c r="A21" t="s">
        <v>64</v>
      </c>
      <c r="B21" s="2">
        <v>45855</v>
      </c>
      <c r="C21" t="s">
        <v>65</v>
      </c>
      <c r="D21" t="s">
        <v>28</v>
      </c>
      <c r="E21" t="str">
        <f>IFERROR(VLOOKUP(C21,Customer_Master!$A$2:$E$16,4,FALSE),"")</f>
        <v>Central</v>
      </c>
      <c r="F21" t="str">
        <f>IFERROR(VLOOKUP(C21,Customer_Master!$A$2:$E$16,5,FALSE),"")</f>
        <v>Consumer</v>
      </c>
      <c r="G21">
        <v>1</v>
      </c>
      <c r="H21" s="3">
        <v>0</v>
      </c>
      <c r="I21" t="s">
        <v>29</v>
      </c>
      <c r="J21" t="s">
        <v>23</v>
      </c>
      <c r="K21" s="4">
        <f>IFERROR(VLOOKUP(D21,Product_Master!$A$2:$F$13,5,FALSE),0)</f>
        <v>28999</v>
      </c>
      <c r="L21" t="str">
        <f>IFERROR(VLOOKUP(D21,Product_Master!$A$2:$F$13,2,FALSE),"")</f>
        <v>Tablet Plus</v>
      </c>
      <c r="M21" t="str">
        <f>IFERROR(VLOOKUP(D21,Product_Master!$A$2:$F$13,3,FALSE),"")</f>
        <v>Electronics</v>
      </c>
      <c r="N21" s="4">
        <f t="shared" si="0"/>
        <v>28999</v>
      </c>
      <c r="O21" s="4">
        <f t="shared" si="1"/>
        <v>0</v>
      </c>
      <c r="P21" s="4">
        <f t="shared" si="2"/>
        <v>28999</v>
      </c>
      <c r="Q21" s="4">
        <f>G21*IFERROR(VLOOKUP(D21,Product_Master!$A$2:$F$13,6,FALSE),0)</f>
        <v>21500</v>
      </c>
      <c r="R21" s="4">
        <f t="shared" si="3"/>
        <v>7499</v>
      </c>
      <c r="S21" s="5">
        <f t="shared" si="4"/>
        <v>0.25859512396979206</v>
      </c>
    </row>
    <row r="22" spans="1:19" x14ac:dyDescent="0.3">
      <c r="A22" t="s">
        <v>66</v>
      </c>
      <c r="B22" s="2">
        <v>45782</v>
      </c>
      <c r="C22" t="s">
        <v>37</v>
      </c>
      <c r="D22" t="s">
        <v>43</v>
      </c>
      <c r="E22" t="str">
        <f>IFERROR(VLOOKUP(C22,Customer_Master!$A$2:$E$16,4,FALSE),"")</f>
        <v>North</v>
      </c>
      <c r="F22" t="str">
        <f>IFERROR(VLOOKUP(C22,Customer_Master!$A$2:$E$16,5,FALSE),"")</f>
        <v>Consumer</v>
      </c>
      <c r="G22">
        <v>1</v>
      </c>
      <c r="H22" s="3">
        <v>0.15</v>
      </c>
      <c r="I22" t="s">
        <v>54</v>
      </c>
      <c r="J22" t="s">
        <v>23</v>
      </c>
      <c r="K22" s="4">
        <f>IFERROR(VLOOKUP(D22,Product_Master!$A$2:$F$13,5,FALSE),0)</f>
        <v>8999</v>
      </c>
      <c r="L22" t="str">
        <f>IFERROR(VLOOKUP(D22,Product_Master!$A$2:$F$13,2,FALSE),"")</f>
        <v>Office Chair</v>
      </c>
      <c r="M22" t="str">
        <f>IFERROR(VLOOKUP(D22,Product_Master!$A$2:$F$13,3,FALSE),"")</f>
        <v>Furniture</v>
      </c>
      <c r="N22" s="4">
        <f t="shared" si="0"/>
        <v>8999</v>
      </c>
      <c r="O22" s="4">
        <f t="shared" si="1"/>
        <v>1349.85</v>
      </c>
      <c r="P22" s="4">
        <f t="shared" si="2"/>
        <v>7649.15</v>
      </c>
      <c r="Q22" s="4">
        <f>G22*IFERROR(VLOOKUP(D22,Product_Master!$A$2:$F$13,6,FALSE),0)</f>
        <v>6100</v>
      </c>
      <c r="R22" s="4">
        <f t="shared" si="3"/>
        <v>1549.1499999999996</v>
      </c>
      <c r="S22" s="5">
        <f t="shared" si="4"/>
        <v>0.20252577083728254</v>
      </c>
    </row>
    <row r="23" spans="1:19" x14ac:dyDescent="0.3">
      <c r="A23" t="s">
        <v>67</v>
      </c>
      <c r="B23" s="2">
        <v>45723</v>
      </c>
      <c r="C23" t="s">
        <v>37</v>
      </c>
      <c r="D23" t="s">
        <v>33</v>
      </c>
      <c r="E23" t="str">
        <f>IFERROR(VLOOKUP(C23,Customer_Master!$A$2:$E$16,4,FALSE),"")</f>
        <v>North</v>
      </c>
      <c r="F23" t="str">
        <f>IFERROR(VLOOKUP(C23,Customer_Master!$A$2:$E$16,5,FALSE),"")</f>
        <v>Consumer</v>
      </c>
      <c r="G23">
        <v>5</v>
      </c>
      <c r="H23" s="3">
        <v>0.1</v>
      </c>
      <c r="I23" t="s">
        <v>22</v>
      </c>
      <c r="J23" t="s">
        <v>23</v>
      </c>
      <c r="K23" s="4">
        <f>IFERROR(VLOOKUP(D23,Product_Master!$A$2:$F$13,5,FALSE),0)</f>
        <v>3999</v>
      </c>
      <c r="L23" t="str">
        <f>IFERROR(VLOOKUP(D23,Product_Master!$A$2:$F$13,2,FALSE),"")</f>
        <v>Mechanical Keyboard</v>
      </c>
      <c r="M23" t="str">
        <f>IFERROR(VLOOKUP(D23,Product_Master!$A$2:$F$13,3,FALSE),"")</f>
        <v>Accessories</v>
      </c>
      <c r="N23" s="4">
        <f t="shared" si="0"/>
        <v>19995</v>
      </c>
      <c r="O23" s="4">
        <f t="shared" si="1"/>
        <v>1999.5</v>
      </c>
      <c r="P23" s="4">
        <f t="shared" si="2"/>
        <v>17995.5</v>
      </c>
      <c r="Q23" s="4">
        <f>G23*IFERROR(VLOOKUP(D23,Product_Master!$A$2:$F$13,6,FALSE),0)</f>
        <v>11750</v>
      </c>
      <c r="R23" s="4">
        <f t="shared" si="3"/>
        <v>6245.5</v>
      </c>
      <c r="S23" s="5">
        <f t="shared" si="4"/>
        <v>0.34705898696896448</v>
      </c>
    </row>
    <row r="24" spans="1:19" x14ac:dyDescent="0.3">
      <c r="A24" t="s">
        <v>68</v>
      </c>
      <c r="B24" s="2">
        <v>45751</v>
      </c>
      <c r="C24" t="s">
        <v>65</v>
      </c>
      <c r="D24" t="s">
        <v>56</v>
      </c>
      <c r="E24" t="str">
        <f>IFERROR(VLOOKUP(C24,Customer_Master!$A$2:$E$16,4,FALSE),"")</f>
        <v>Central</v>
      </c>
      <c r="F24" t="str">
        <f>IFERROR(VLOOKUP(C24,Customer_Master!$A$2:$E$16,5,FALSE),"")</f>
        <v>Consumer</v>
      </c>
      <c r="G24">
        <v>6</v>
      </c>
      <c r="H24" s="3">
        <v>0.05</v>
      </c>
      <c r="I24" t="s">
        <v>54</v>
      </c>
      <c r="J24" t="s">
        <v>23</v>
      </c>
      <c r="K24" s="4">
        <f>IFERROR(VLOOKUP(D24,Product_Master!$A$2:$F$13,5,FALSE),0)</f>
        <v>3499</v>
      </c>
      <c r="L24" t="str">
        <f>IFERROR(VLOOKUP(D24,Product_Master!$A$2:$F$13,2,FALSE),"")</f>
        <v>Bluetooth Speaker</v>
      </c>
      <c r="M24" t="str">
        <f>IFERROR(VLOOKUP(D24,Product_Master!$A$2:$F$13,3,FALSE),"")</f>
        <v>Electronics</v>
      </c>
      <c r="N24" s="4">
        <f t="shared" si="0"/>
        <v>20994</v>
      </c>
      <c r="O24" s="4">
        <f t="shared" si="1"/>
        <v>1049.7</v>
      </c>
      <c r="P24" s="4">
        <f t="shared" si="2"/>
        <v>19944.3</v>
      </c>
      <c r="Q24" s="4">
        <f>G24*IFERROR(VLOOKUP(D24,Product_Master!$A$2:$F$13,6,FALSE),0)</f>
        <v>12300</v>
      </c>
      <c r="R24" s="4">
        <f t="shared" si="3"/>
        <v>7644.2999999999993</v>
      </c>
      <c r="S24" s="5">
        <f t="shared" si="4"/>
        <v>0.38328244159985558</v>
      </c>
    </row>
    <row r="25" spans="1:19" x14ac:dyDescent="0.3">
      <c r="A25" t="s">
        <v>69</v>
      </c>
      <c r="B25" s="2">
        <v>45785</v>
      </c>
      <c r="C25" t="s">
        <v>65</v>
      </c>
      <c r="D25" t="s">
        <v>70</v>
      </c>
      <c r="E25" t="str">
        <f>IFERROR(VLOOKUP(C25,Customer_Master!$A$2:$E$16,4,FALSE),"")</f>
        <v>Central</v>
      </c>
      <c r="F25" t="str">
        <f>IFERROR(VLOOKUP(C25,Customer_Master!$A$2:$E$16,5,FALSE),"")</f>
        <v>Consumer</v>
      </c>
      <c r="G25">
        <v>6</v>
      </c>
      <c r="H25" s="3">
        <v>0.05</v>
      </c>
      <c r="I25" t="s">
        <v>26</v>
      </c>
      <c r="J25" t="s">
        <v>30</v>
      </c>
      <c r="K25" s="4">
        <f>IFERROR(VLOOKUP(D25,Product_Master!$A$2:$F$13,5,FALSE),0)</f>
        <v>2499</v>
      </c>
      <c r="L25" t="str">
        <f>IFERROR(VLOOKUP(D25,Product_Master!$A$2:$F$13,2,FALSE),"")</f>
        <v>USB-C Hub</v>
      </c>
      <c r="M25" t="str">
        <f>IFERROR(VLOOKUP(D25,Product_Master!$A$2:$F$13,3,FALSE),"")</f>
        <v>Accessories</v>
      </c>
      <c r="N25" s="4">
        <f t="shared" si="0"/>
        <v>14994</v>
      </c>
      <c r="O25" s="4">
        <f t="shared" si="1"/>
        <v>749.7</v>
      </c>
      <c r="P25" s="4">
        <f t="shared" si="2"/>
        <v>14244.3</v>
      </c>
      <c r="Q25" s="4">
        <f>G25*IFERROR(VLOOKUP(D25,Product_Master!$A$2:$F$13,6,FALSE),0)</f>
        <v>8700</v>
      </c>
      <c r="R25" s="4">
        <f t="shared" si="3"/>
        <v>5544.2999999999993</v>
      </c>
      <c r="S25" s="5">
        <f t="shared" si="4"/>
        <v>0.38922937596091067</v>
      </c>
    </row>
    <row r="26" spans="1:19" x14ac:dyDescent="0.3">
      <c r="A26" t="s">
        <v>71</v>
      </c>
      <c r="B26" s="2">
        <v>45856</v>
      </c>
      <c r="C26" t="s">
        <v>61</v>
      </c>
      <c r="D26" t="s">
        <v>43</v>
      </c>
      <c r="E26" t="str">
        <f>IFERROR(VLOOKUP(C26,Customer_Master!$A$2:$E$16,4,FALSE),"")</f>
        <v>South</v>
      </c>
      <c r="F26" t="str">
        <f>IFERROR(VLOOKUP(C26,Customer_Master!$A$2:$E$16,5,FALSE),"")</f>
        <v>Consumer</v>
      </c>
      <c r="G26">
        <v>4</v>
      </c>
      <c r="H26" s="3">
        <v>0.15</v>
      </c>
      <c r="I26" t="s">
        <v>29</v>
      </c>
      <c r="J26" t="s">
        <v>23</v>
      </c>
      <c r="K26" s="4">
        <f>IFERROR(VLOOKUP(D26,Product_Master!$A$2:$F$13,5,FALSE),0)</f>
        <v>8999</v>
      </c>
      <c r="L26" t="str">
        <f>IFERROR(VLOOKUP(D26,Product_Master!$A$2:$F$13,2,FALSE),"")</f>
        <v>Office Chair</v>
      </c>
      <c r="M26" t="str">
        <f>IFERROR(VLOOKUP(D26,Product_Master!$A$2:$F$13,3,FALSE),"")</f>
        <v>Furniture</v>
      </c>
      <c r="N26" s="4">
        <f t="shared" si="0"/>
        <v>35996</v>
      </c>
      <c r="O26" s="4">
        <f t="shared" si="1"/>
        <v>5399.4</v>
      </c>
      <c r="P26" s="4">
        <f t="shared" si="2"/>
        <v>30596.6</v>
      </c>
      <c r="Q26" s="4">
        <f>G26*IFERROR(VLOOKUP(D26,Product_Master!$A$2:$F$13,6,FALSE),0)</f>
        <v>24400</v>
      </c>
      <c r="R26" s="4">
        <f t="shared" si="3"/>
        <v>6196.5999999999985</v>
      </c>
      <c r="S26" s="5">
        <f t="shared" si="4"/>
        <v>0.20252577083728254</v>
      </c>
    </row>
    <row r="27" spans="1:19" x14ac:dyDescent="0.3">
      <c r="A27" t="s">
        <v>72</v>
      </c>
      <c r="B27" s="2">
        <v>45713</v>
      </c>
      <c r="C27" t="s">
        <v>35</v>
      </c>
      <c r="D27" t="s">
        <v>48</v>
      </c>
      <c r="E27" t="str">
        <f>IFERROR(VLOOKUP(C27,Customer_Master!$A$2:$E$16,4,FALSE),"")</f>
        <v>North</v>
      </c>
      <c r="F27" t="str">
        <f>IFERROR(VLOOKUP(C27,Customer_Master!$A$2:$E$16,5,FALSE),"")</f>
        <v>Corporate</v>
      </c>
      <c r="G27">
        <v>1</v>
      </c>
      <c r="H27" s="3">
        <v>0.15</v>
      </c>
      <c r="I27" t="s">
        <v>54</v>
      </c>
      <c r="J27" t="s">
        <v>23</v>
      </c>
      <c r="K27" s="4">
        <f>IFERROR(VLOOKUP(D27,Product_Master!$A$2:$F$13,5,FALSE),0)</f>
        <v>62999</v>
      </c>
      <c r="L27" t="str">
        <f>IFERROR(VLOOKUP(D27,Product_Master!$A$2:$F$13,2,FALSE),"")</f>
        <v>Laptop Air 13</v>
      </c>
      <c r="M27" t="str">
        <f>IFERROR(VLOOKUP(D27,Product_Master!$A$2:$F$13,3,FALSE),"")</f>
        <v>Electronics</v>
      </c>
      <c r="N27" s="4">
        <f t="shared" si="0"/>
        <v>62999</v>
      </c>
      <c r="O27" s="4">
        <f t="shared" si="1"/>
        <v>9449.85</v>
      </c>
      <c r="P27" s="4">
        <f t="shared" si="2"/>
        <v>53549.15</v>
      </c>
      <c r="Q27" s="4">
        <f>G27*IFERROR(VLOOKUP(D27,Product_Master!$A$2:$F$13,6,FALSE),0)</f>
        <v>49000</v>
      </c>
      <c r="R27" s="4">
        <f t="shared" si="3"/>
        <v>4549.1500000000015</v>
      </c>
      <c r="S27" s="5">
        <f t="shared" si="4"/>
        <v>8.4952795702639569E-2</v>
      </c>
    </row>
    <row r="28" spans="1:19" x14ac:dyDescent="0.3">
      <c r="A28" t="s">
        <v>73</v>
      </c>
      <c r="B28" s="2">
        <v>45858</v>
      </c>
      <c r="C28" t="s">
        <v>74</v>
      </c>
      <c r="D28" t="s">
        <v>52</v>
      </c>
      <c r="E28" t="str">
        <f>IFERROR(VLOOKUP(C28,Customer_Master!$A$2:$E$16,4,FALSE),"")</f>
        <v>East</v>
      </c>
      <c r="F28" t="str">
        <f>IFERROR(VLOOKUP(C28,Customer_Master!$A$2:$E$16,5,FALSE),"")</f>
        <v>Consumer</v>
      </c>
      <c r="G28">
        <v>3</v>
      </c>
      <c r="H28" s="3">
        <v>0.1</v>
      </c>
      <c r="I28" t="s">
        <v>22</v>
      </c>
      <c r="J28" t="s">
        <v>23</v>
      </c>
      <c r="K28" s="4">
        <f>IFERROR(VLOOKUP(D28,Product_Master!$A$2:$F$13,5,FALSE),0)</f>
        <v>6999</v>
      </c>
      <c r="L28" t="str">
        <f>IFERROR(VLOOKUP(D28,Product_Master!$A$2:$F$13,2,FALSE),"")</f>
        <v>Study Desk</v>
      </c>
      <c r="M28" t="str">
        <f>IFERROR(VLOOKUP(D28,Product_Master!$A$2:$F$13,3,FALSE),"")</f>
        <v>Furniture</v>
      </c>
      <c r="N28" s="4">
        <f t="shared" si="0"/>
        <v>20997</v>
      </c>
      <c r="O28" s="4">
        <f t="shared" si="1"/>
        <v>2099.7000000000003</v>
      </c>
      <c r="P28" s="4">
        <f t="shared" si="2"/>
        <v>18897.3</v>
      </c>
      <c r="Q28" s="4">
        <f>G28*IFERROR(VLOOKUP(D28,Product_Master!$A$2:$F$13,6,FALSE),0)</f>
        <v>13500</v>
      </c>
      <c r="R28" s="4">
        <f t="shared" si="3"/>
        <v>5397.2999999999993</v>
      </c>
      <c r="S28" s="5">
        <f t="shared" si="4"/>
        <v>0.28561223031861693</v>
      </c>
    </row>
    <row r="29" spans="1:19" x14ac:dyDescent="0.3">
      <c r="A29" t="s">
        <v>75</v>
      </c>
      <c r="B29" s="2">
        <v>45747</v>
      </c>
      <c r="C29" t="s">
        <v>76</v>
      </c>
      <c r="D29" t="s">
        <v>21</v>
      </c>
      <c r="E29" t="str">
        <f>IFERROR(VLOOKUP(C29,Customer_Master!$A$2:$E$16,4,FALSE),"")</f>
        <v>West</v>
      </c>
      <c r="F29" t="str">
        <f>IFERROR(VLOOKUP(C29,Customer_Master!$A$2:$E$16,5,FALSE),"")</f>
        <v>Small Business</v>
      </c>
      <c r="G29">
        <v>6</v>
      </c>
      <c r="H29" s="3">
        <v>0</v>
      </c>
      <c r="I29" t="s">
        <v>26</v>
      </c>
      <c r="J29" t="s">
        <v>23</v>
      </c>
      <c r="K29" s="4">
        <f>IFERROR(VLOOKUP(D29,Product_Master!$A$2:$F$13,5,FALSE),0)</f>
        <v>1499</v>
      </c>
      <c r="L29" t="str">
        <f>IFERROR(VLOOKUP(D29,Product_Master!$A$2:$F$13,2,FALSE),"")</f>
        <v>Wireless Mouse</v>
      </c>
      <c r="M29" t="str">
        <f>IFERROR(VLOOKUP(D29,Product_Master!$A$2:$F$13,3,FALSE),"")</f>
        <v>Accessories</v>
      </c>
      <c r="N29" s="4">
        <f t="shared" si="0"/>
        <v>8994</v>
      </c>
      <c r="O29" s="4">
        <f t="shared" si="1"/>
        <v>0</v>
      </c>
      <c r="P29" s="4">
        <f t="shared" si="2"/>
        <v>8994</v>
      </c>
      <c r="Q29" s="4">
        <f>G29*IFERROR(VLOOKUP(D29,Product_Master!$A$2:$F$13,6,FALSE),0)</f>
        <v>4500</v>
      </c>
      <c r="R29" s="4">
        <f t="shared" si="3"/>
        <v>4494</v>
      </c>
      <c r="S29" s="5">
        <f t="shared" si="4"/>
        <v>0.49966644429619744</v>
      </c>
    </row>
    <row r="30" spans="1:19" x14ac:dyDescent="0.3">
      <c r="A30" t="s">
        <v>77</v>
      </c>
      <c r="B30" s="2">
        <v>45992</v>
      </c>
      <c r="C30" t="s">
        <v>20</v>
      </c>
      <c r="D30" t="s">
        <v>21</v>
      </c>
      <c r="E30" t="str">
        <f>IFERROR(VLOOKUP(C30,Customer_Master!$A$2:$E$16,4,FALSE),"")</f>
        <v>South</v>
      </c>
      <c r="F30" t="str">
        <f>IFERROR(VLOOKUP(C30,Customer_Master!$A$2:$E$16,5,FALSE),"")</f>
        <v>Small Business</v>
      </c>
      <c r="G30">
        <v>5</v>
      </c>
      <c r="H30" s="3">
        <v>0.15</v>
      </c>
      <c r="I30" t="s">
        <v>29</v>
      </c>
      <c r="J30" t="s">
        <v>23</v>
      </c>
      <c r="K30" s="4">
        <f>IFERROR(VLOOKUP(D30,Product_Master!$A$2:$F$13,5,FALSE),0)</f>
        <v>1499</v>
      </c>
      <c r="L30" t="str">
        <f>IFERROR(VLOOKUP(D30,Product_Master!$A$2:$F$13,2,FALSE),"")</f>
        <v>Wireless Mouse</v>
      </c>
      <c r="M30" t="str">
        <f>IFERROR(VLOOKUP(D30,Product_Master!$A$2:$F$13,3,FALSE),"")</f>
        <v>Accessories</v>
      </c>
      <c r="N30" s="4">
        <f t="shared" si="0"/>
        <v>7495</v>
      </c>
      <c r="O30" s="4">
        <f t="shared" si="1"/>
        <v>1124.25</v>
      </c>
      <c r="P30" s="4">
        <f t="shared" si="2"/>
        <v>6370.75</v>
      </c>
      <c r="Q30" s="4">
        <f>G30*IFERROR(VLOOKUP(D30,Product_Master!$A$2:$F$13,6,FALSE),0)</f>
        <v>3750</v>
      </c>
      <c r="R30" s="4">
        <f t="shared" si="3"/>
        <v>2620.75</v>
      </c>
      <c r="S30" s="5">
        <f t="shared" si="4"/>
        <v>0.41137228740729115</v>
      </c>
    </row>
    <row r="31" spans="1:19" x14ac:dyDescent="0.3">
      <c r="A31" t="s">
        <v>78</v>
      </c>
      <c r="B31" s="2">
        <v>45666</v>
      </c>
      <c r="C31" t="s">
        <v>61</v>
      </c>
      <c r="D31" t="s">
        <v>41</v>
      </c>
      <c r="E31" t="str">
        <f>IFERROR(VLOOKUP(C31,Customer_Master!$A$2:$E$16,4,FALSE),"")</f>
        <v>South</v>
      </c>
      <c r="F31" t="str">
        <f>IFERROR(VLOOKUP(C31,Customer_Master!$A$2:$E$16,5,FALSE),"")</f>
        <v>Consumer</v>
      </c>
      <c r="G31">
        <v>1</v>
      </c>
      <c r="H31" s="3">
        <v>0.05</v>
      </c>
      <c r="I31" t="s">
        <v>49</v>
      </c>
      <c r="J31" t="s">
        <v>23</v>
      </c>
      <c r="K31" s="4">
        <f>IFERROR(VLOOKUP(D31,Product_Master!$A$2:$F$13,5,FALSE),0)</f>
        <v>24999</v>
      </c>
      <c r="L31" t="str">
        <f>IFERROR(VLOOKUP(D31,Product_Master!$A$2:$F$13,2,FALSE),"")</f>
        <v>Smartphone Lite</v>
      </c>
      <c r="M31" t="str">
        <f>IFERROR(VLOOKUP(D31,Product_Master!$A$2:$F$13,3,FALSE),"")</f>
        <v>Electronics</v>
      </c>
      <c r="N31" s="4">
        <f t="shared" si="0"/>
        <v>24999</v>
      </c>
      <c r="O31" s="4">
        <f t="shared" si="1"/>
        <v>1249.95</v>
      </c>
      <c r="P31" s="4">
        <f t="shared" si="2"/>
        <v>23749.05</v>
      </c>
      <c r="Q31" s="4">
        <f>G31*IFERROR(VLOOKUP(D31,Product_Master!$A$2:$F$13,6,FALSE),0)</f>
        <v>18500</v>
      </c>
      <c r="R31" s="4">
        <f t="shared" si="3"/>
        <v>5249.0499999999993</v>
      </c>
      <c r="S31" s="5">
        <f t="shared" si="4"/>
        <v>0.22102147243784487</v>
      </c>
    </row>
    <row r="32" spans="1:19" x14ac:dyDescent="0.3">
      <c r="A32" t="s">
        <v>79</v>
      </c>
      <c r="B32" s="2">
        <v>45681</v>
      </c>
      <c r="C32" t="s">
        <v>61</v>
      </c>
      <c r="D32" t="s">
        <v>38</v>
      </c>
      <c r="E32" t="str">
        <f>IFERROR(VLOOKUP(C32,Customer_Master!$A$2:$E$16,4,FALSE),"")</f>
        <v>South</v>
      </c>
      <c r="F32" t="str">
        <f>IFERROR(VLOOKUP(C32,Customer_Master!$A$2:$E$16,5,FALSE),"")</f>
        <v>Consumer</v>
      </c>
      <c r="G32">
        <v>2</v>
      </c>
      <c r="H32" s="3">
        <v>0.05</v>
      </c>
      <c r="I32" t="s">
        <v>54</v>
      </c>
      <c r="J32" t="s">
        <v>30</v>
      </c>
      <c r="K32" s="4">
        <f>IFERROR(VLOOKUP(D32,Product_Master!$A$2:$F$13,5,FALSE),0)</f>
        <v>74999</v>
      </c>
      <c r="L32" t="str">
        <f>IFERROR(VLOOKUP(D32,Product_Master!$A$2:$F$13,2,FALSE),"")</f>
        <v>Laptop Pro 14</v>
      </c>
      <c r="M32" t="str">
        <f>IFERROR(VLOOKUP(D32,Product_Master!$A$2:$F$13,3,FALSE),"")</f>
        <v>Electronics</v>
      </c>
      <c r="N32" s="4">
        <f t="shared" si="0"/>
        <v>149998</v>
      </c>
      <c r="O32" s="4">
        <f t="shared" si="1"/>
        <v>7499.9000000000005</v>
      </c>
      <c r="P32" s="4">
        <f t="shared" si="2"/>
        <v>142498.1</v>
      </c>
      <c r="Q32" s="4">
        <f>G32*IFERROR(VLOOKUP(D32,Product_Master!$A$2:$F$13,6,FALSE),0)</f>
        <v>117000</v>
      </c>
      <c r="R32" s="4">
        <f t="shared" si="3"/>
        <v>25498.100000000006</v>
      </c>
      <c r="S32" s="5">
        <f t="shared" si="4"/>
        <v>0.17893642090666476</v>
      </c>
    </row>
    <row r="33" spans="1:19" x14ac:dyDescent="0.3">
      <c r="A33" t="s">
        <v>80</v>
      </c>
      <c r="B33" s="2">
        <v>45705</v>
      </c>
      <c r="C33" t="s">
        <v>37</v>
      </c>
      <c r="D33" t="s">
        <v>62</v>
      </c>
      <c r="E33" t="str">
        <f>IFERROR(VLOOKUP(C33,Customer_Master!$A$2:$E$16,4,FALSE),"")</f>
        <v>North</v>
      </c>
      <c r="F33" t="str">
        <f>IFERROR(VLOOKUP(C33,Customer_Master!$A$2:$E$16,5,FALSE),"")</f>
        <v>Consumer</v>
      </c>
      <c r="G33">
        <v>3</v>
      </c>
      <c r="H33" s="3">
        <v>0.05</v>
      </c>
      <c r="I33" t="s">
        <v>49</v>
      </c>
      <c r="J33" t="s">
        <v>23</v>
      </c>
      <c r="K33" s="4">
        <f>IFERROR(VLOOKUP(D33,Product_Master!$A$2:$F$13,5,FALSE),0)</f>
        <v>39999</v>
      </c>
      <c r="L33" t="str">
        <f>IFERROR(VLOOKUP(D33,Product_Master!$A$2:$F$13,2,FALSE),"")</f>
        <v>Smartphone X</v>
      </c>
      <c r="M33" t="str">
        <f>IFERROR(VLOOKUP(D33,Product_Master!$A$2:$F$13,3,FALSE),"")</f>
        <v>Electronics</v>
      </c>
      <c r="N33" s="4">
        <f t="shared" si="0"/>
        <v>119997</v>
      </c>
      <c r="O33" s="4">
        <f t="shared" si="1"/>
        <v>5999.85</v>
      </c>
      <c r="P33" s="4">
        <f t="shared" si="2"/>
        <v>113997.15</v>
      </c>
      <c r="Q33" s="4">
        <f>G33*IFERROR(VLOOKUP(D33,Product_Master!$A$2:$F$13,6,FALSE),0)</f>
        <v>90000</v>
      </c>
      <c r="R33" s="4">
        <f t="shared" si="3"/>
        <v>23997.149999999994</v>
      </c>
      <c r="S33" s="5">
        <f t="shared" si="4"/>
        <v>0.210506578453935</v>
      </c>
    </row>
    <row r="34" spans="1:19" x14ac:dyDescent="0.3">
      <c r="A34" t="s">
        <v>81</v>
      </c>
      <c r="B34" s="2">
        <v>46011</v>
      </c>
      <c r="C34" t="s">
        <v>82</v>
      </c>
      <c r="D34" t="s">
        <v>52</v>
      </c>
      <c r="E34" t="str">
        <f>IFERROR(VLOOKUP(C34,Customer_Master!$A$2:$E$16,4,FALSE),"")</f>
        <v>Central</v>
      </c>
      <c r="F34" t="str">
        <f>IFERROR(VLOOKUP(C34,Customer_Master!$A$2:$E$16,5,FALSE),"")</f>
        <v>Small Business</v>
      </c>
      <c r="G34">
        <v>5</v>
      </c>
      <c r="H34" s="3">
        <v>0.15</v>
      </c>
      <c r="I34" t="s">
        <v>26</v>
      </c>
      <c r="J34" t="s">
        <v>30</v>
      </c>
      <c r="K34" s="4">
        <f>IFERROR(VLOOKUP(D34,Product_Master!$A$2:$F$13,5,FALSE),0)</f>
        <v>6999</v>
      </c>
      <c r="L34" t="str">
        <f>IFERROR(VLOOKUP(D34,Product_Master!$A$2:$F$13,2,FALSE),"")</f>
        <v>Study Desk</v>
      </c>
      <c r="M34" t="str">
        <f>IFERROR(VLOOKUP(D34,Product_Master!$A$2:$F$13,3,FALSE),"")</f>
        <v>Furniture</v>
      </c>
      <c r="N34" s="4">
        <f t="shared" si="0"/>
        <v>34995</v>
      </c>
      <c r="O34" s="4">
        <f t="shared" si="1"/>
        <v>5249.25</v>
      </c>
      <c r="P34" s="4">
        <f t="shared" si="2"/>
        <v>29745.75</v>
      </c>
      <c r="Q34" s="4">
        <f>G34*IFERROR(VLOOKUP(D34,Product_Master!$A$2:$F$13,6,FALSE),0)</f>
        <v>22500</v>
      </c>
      <c r="R34" s="4">
        <f t="shared" si="3"/>
        <v>7245.75</v>
      </c>
      <c r="S34" s="5">
        <f t="shared" si="4"/>
        <v>0.24358942033735911</v>
      </c>
    </row>
    <row r="35" spans="1:19" x14ac:dyDescent="0.3">
      <c r="A35" t="s">
        <v>83</v>
      </c>
      <c r="B35" s="2">
        <v>45901</v>
      </c>
      <c r="C35" t="s">
        <v>35</v>
      </c>
      <c r="D35" t="s">
        <v>38</v>
      </c>
      <c r="E35" t="str">
        <f>IFERROR(VLOOKUP(C35,Customer_Master!$A$2:$E$16,4,FALSE),"")</f>
        <v>North</v>
      </c>
      <c r="F35" t="str">
        <f>IFERROR(VLOOKUP(C35,Customer_Master!$A$2:$E$16,5,FALSE),"")</f>
        <v>Corporate</v>
      </c>
      <c r="G35">
        <v>3</v>
      </c>
      <c r="H35" s="3">
        <v>0.05</v>
      </c>
      <c r="I35" t="s">
        <v>29</v>
      </c>
      <c r="J35" t="s">
        <v>23</v>
      </c>
      <c r="K35" s="4">
        <f>IFERROR(VLOOKUP(D35,Product_Master!$A$2:$F$13,5,FALSE),0)</f>
        <v>74999</v>
      </c>
      <c r="L35" t="str">
        <f>IFERROR(VLOOKUP(D35,Product_Master!$A$2:$F$13,2,FALSE),"")</f>
        <v>Laptop Pro 14</v>
      </c>
      <c r="M35" t="str">
        <f>IFERROR(VLOOKUP(D35,Product_Master!$A$2:$F$13,3,FALSE),"")</f>
        <v>Electronics</v>
      </c>
      <c r="N35" s="4">
        <f t="shared" si="0"/>
        <v>224997</v>
      </c>
      <c r="O35" s="4">
        <f t="shared" si="1"/>
        <v>11249.85</v>
      </c>
      <c r="P35" s="4">
        <f t="shared" si="2"/>
        <v>213747.15</v>
      </c>
      <c r="Q35" s="4">
        <f>G35*IFERROR(VLOOKUP(D35,Product_Master!$A$2:$F$13,6,FALSE),0)</f>
        <v>175500</v>
      </c>
      <c r="R35" s="4">
        <f t="shared" si="3"/>
        <v>38247.149999999994</v>
      </c>
      <c r="S35" s="5">
        <f t="shared" si="4"/>
        <v>0.1789364209066647</v>
      </c>
    </row>
    <row r="36" spans="1:19" x14ac:dyDescent="0.3">
      <c r="A36" t="s">
        <v>84</v>
      </c>
      <c r="B36" s="2">
        <v>45696</v>
      </c>
      <c r="C36" t="s">
        <v>37</v>
      </c>
      <c r="D36" t="s">
        <v>43</v>
      </c>
      <c r="E36" t="str">
        <f>IFERROR(VLOOKUP(C36,Customer_Master!$A$2:$E$16,4,FALSE),"")</f>
        <v>North</v>
      </c>
      <c r="F36" t="str">
        <f>IFERROR(VLOOKUP(C36,Customer_Master!$A$2:$E$16,5,FALSE),"")</f>
        <v>Consumer</v>
      </c>
      <c r="G36">
        <v>4</v>
      </c>
      <c r="H36" s="3">
        <v>0</v>
      </c>
      <c r="I36" t="s">
        <v>54</v>
      </c>
      <c r="J36" t="s">
        <v>23</v>
      </c>
      <c r="K36" s="4">
        <f>IFERROR(VLOOKUP(D36,Product_Master!$A$2:$F$13,5,FALSE),0)</f>
        <v>8999</v>
      </c>
      <c r="L36" t="str">
        <f>IFERROR(VLOOKUP(D36,Product_Master!$A$2:$F$13,2,FALSE),"")</f>
        <v>Office Chair</v>
      </c>
      <c r="M36" t="str">
        <f>IFERROR(VLOOKUP(D36,Product_Master!$A$2:$F$13,3,FALSE),"")</f>
        <v>Furniture</v>
      </c>
      <c r="N36" s="4">
        <f t="shared" si="0"/>
        <v>35996</v>
      </c>
      <c r="O36" s="4">
        <f t="shared" si="1"/>
        <v>0</v>
      </c>
      <c r="P36" s="4">
        <f t="shared" si="2"/>
        <v>35996</v>
      </c>
      <c r="Q36" s="4">
        <f>G36*IFERROR(VLOOKUP(D36,Product_Master!$A$2:$F$13,6,FALSE),0)</f>
        <v>24400</v>
      </c>
      <c r="R36" s="4">
        <f t="shared" si="3"/>
        <v>11596</v>
      </c>
      <c r="S36" s="5">
        <f t="shared" si="4"/>
        <v>0.3221469052116902</v>
      </c>
    </row>
    <row r="37" spans="1:19" x14ac:dyDescent="0.3">
      <c r="A37" t="s">
        <v>85</v>
      </c>
      <c r="B37" s="2">
        <v>45696</v>
      </c>
      <c r="C37" t="s">
        <v>25</v>
      </c>
      <c r="D37" t="s">
        <v>48</v>
      </c>
      <c r="E37" t="str">
        <f>IFERROR(VLOOKUP(C37,Customer_Master!$A$2:$E$16,4,FALSE),"")</f>
        <v>South</v>
      </c>
      <c r="F37" t="str">
        <f>IFERROR(VLOOKUP(C37,Customer_Master!$A$2:$E$16,5,FALSE),"")</f>
        <v>Corporate</v>
      </c>
      <c r="G37">
        <v>4</v>
      </c>
      <c r="H37" s="3">
        <v>0.15</v>
      </c>
      <c r="I37" t="s">
        <v>54</v>
      </c>
      <c r="J37" t="s">
        <v>23</v>
      </c>
      <c r="K37" s="4">
        <f>IFERROR(VLOOKUP(D37,Product_Master!$A$2:$F$13,5,FALSE),0)</f>
        <v>62999</v>
      </c>
      <c r="L37" t="str">
        <f>IFERROR(VLOOKUP(D37,Product_Master!$A$2:$F$13,2,FALSE),"")</f>
        <v>Laptop Air 13</v>
      </c>
      <c r="M37" t="str">
        <f>IFERROR(VLOOKUP(D37,Product_Master!$A$2:$F$13,3,FALSE),"")</f>
        <v>Electronics</v>
      </c>
      <c r="N37" s="4">
        <f t="shared" si="0"/>
        <v>251996</v>
      </c>
      <c r="O37" s="4">
        <f t="shared" si="1"/>
        <v>37799.4</v>
      </c>
      <c r="P37" s="4">
        <f t="shared" si="2"/>
        <v>214196.6</v>
      </c>
      <c r="Q37" s="4">
        <f>G37*IFERROR(VLOOKUP(D37,Product_Master!$A$2:$F$13,6,FALSE),0)</f>
        <v>196000</v>
      </c>
      <c r="R37" s="4">
        <f t="shared" si="3"/>
        <v>18196.600000000006</v>
      </c>
      <c r="S37" s="5">
        <f t="shared" si="4"/>
        <v>8.4952795702639569E-2</v>
      </c>
    </row>
    <row r="38" spans="1:19" x14ac:dyDescent="0.3">
      <c r="A38" t="s">
        <v>86</v>
      </c>
      <c r="B38" s="2">
        <v>46018</v>
      </c>
      <c r="C38" t="s">
        <v>87</v>
      </c>
      <c r="D38" t="s">
        <v>52</v>
      </c>
      <c r="E38" t="str">
        <f>IFERROR(VLOOKUP(C38,Customer_Master!$A$2:$E$16,4,FALSE),"")</f>
        <v>East</v>
      </c>
      <c r="F38" t="str">
        <f>IFERROR(VLOOKUP(C38,Customer_Master!$A$2:$E$16,5,FALSE),"")</f>
        <v>Small Business</v>
      </c>
      <c r="G38">
        <v>2</v>
      </c>
      <c r="H38" s="3">
        <v>0.05</v>
      </c>
      <c r="I38" t="s">
        <v>54</v>
      </c>
      <c r="J38" t="s">
        <v>23</v>
      </c>
      <c r="K38" s="4">
        <f>IFERROR(VLOOKUP(D38,Product_Master!$A$2:$F$13,5,FALSE),0)</f>
        <v>6999</v>
      </c>
      <c r="L38" t="str">
        <f>IFERROR(VLOOKUP(D38,Product_Master!$A$2:$F$13,2,FALSE),"")</f>
        <v>Study Desk</v>
      </c>
      <c r="M38" t="str">
        <f>IFERROR(VLOOKUP(D38,Product_Master!$A$2:$F$13,3,FALSE),"")</f>
        <v>Furniture</v>
      </c>
      <c r="N38" s="4">
        <f t="shared" si="0"/>
        <v>13998</v>
      </c>
      <c r="O38" s="4">
        <f t="shared" si="1"/>
        <v>699.90000000000009</v>
      </c>
      <c r="P38" s="4">
        <f t="shared" si="2"/>
        <v>13298.1</v>
      </c>
      <c r="Q38" s="4">
        <f>G38*IFERROR(VLOOKUP(D38,Product_Master!$A$2:$F$13,6,FALSE),0)</f>
        <v>9000</v>
      </c>
      <c r="R38" s="4">
        <f t="shared" si="3"/>
        <v>4298.1000000000004</v>
      </c>
      <c r="S38" s="5">
        <f t="shared" si="4"/>
        <v>0.3232115866176371</v>
      </c>
    </row>
    <row r="39" spans="1:19" x14ac:dyDescent="0.3">
      <c r="A39" t="s">
        <v>88</v>
      </c>
      <c r="B39" s="2">
        <v>45697</v>
      </c>
      <c r="C39" t="s">
        <v>82</v>
      </c>
      <c r="D39" t="s">
        <v>33</v>
      </c>
      <c r="E39" t="str">
        <f>IFERROR(VLOOKUP(C39,Customer_Master!$A$2:$E$16,4,FALSE),"")</f>
        <v>Central</v>
      </c>
      <c r="F39" t="str">
        <f>IFERROR(VLOOKUP(C39,Customer_Master!$A$2:$E$16,5,FALSE),"")</f>
        <v>Small Business</v>
      </c>
      <c r="G39">
        <v>4</v>
      </c>
      <c r="H39" s="3">
        <v>0</v>
      </c>
      <c r="I39" t="s">
        <v>49</v>
      </c>
      <c r="J39" t="s">
        <v>30</v>
      </c>
      <c r="K39" s="4">
        <f>IFERROR(VLOOKUP(D39,Product_Master!$A$2:$F$13,5,FALSE),0)</f>
        <v>3999</v>
      </c>
      <c r="L39" t="str">
        <f>IFERROR(VLOOKUP(D39,Product_Master!$A$2:$F$13,2,FALSE),"")</f>
        <v>Mechanical Keyboard</v>
      </c>
      <c r="M39" t="str">
        <f>IFERROR(VLOOKUP(D39,Product_Master!$A$2:$F$13,3,FALSE),"")</f>
        <v>Accessories</v>
      </c>
      <c r="N39" s="4">
        <f t="shared" si="0"/>
        <v>15996</v>
      </c>
      <c r="O39" s="4">
        <f t="shared" si="1"/>
        <v>0</v>
      </c>
      <c r="P39" s="4">
        <f t="shared" si="2"/>
        <v>15996</v>
      </c>
      <c r="Q39" s="4">
        <f>G39*IFERROR(VLOOKUP(D39,Product_Master!$A$2:$F$13,6,FALSE),0)</f>
        <v>9400</v>
      </c>
      <c r="R39" s="4">
        <f t="shared" si="3"/>
        <v>6596</v>
      </c>
      <c r="S39" s="5">
        <f t="shared" si="4"/>
        <v>0.41235308827206801</v>
      </c>
    </row>
    <row r="40" spans="1:19" x14ac:dyDescent="0.3">
      <c r="A40" t="s">
        <v>89</v>
      </c>
      <c r="B40" s="2">
        <v>45997</v>
      </c>
      <c r="C40" t="s">
        <v>35</v>
      </c>
      <c r="D40" t="s">
        <v>70</v>
      </c>
      <c r="E40" t="str">
        <f>IFERROR(VLOOKUP(C40,Customer_Master!$A$2:$E$16,4,FALSE),"")</f>
        <v>North</v>
      </c>
      <c r="F40" t="str">
        <f>IFERROR(VLOOKUP(C40,Customer_Master!$A$2:$E$16,5,FALSE),"")</f>
        <v>Corporate</v>
      </c>
      <c r="G40">
        <v>4</v>
      </c>
      <c r="H40" s="3">
        <v>0.1</v>
      </c>
      <c r="I40" t="s">
        <v>22</v>
      </c>
      <c r="J40" t="s">
        <v>23</v>
      </c>
      <c r="K40" s="4">
        <f>IFERROR(VLOOKUP(D40,Product_Master!$A$2:$F$13,5,FALSE),0)</f>
        <v>2499</v>
      </c>
      <c r="L40" t="str">
        <f>IFERROR(VLOOKUP(D40,Product_Master!$A$2:$F$13,2,FALSE),"")</f>
        <v>USB-C Hub</v>
      </c>
      <c r="M40" t="str">
        <f>IFERROR(VLOOKUP(D40,Product_Master!$A$2:$F$13,3,FALSE),"")</f>
        <v>Accessories</v>
      </c>
      <c r="N40" s="4">
        <f t="shared" si="0"/>
        <v>9996</v>
      </c>
      <c r="O40" s="4">
        <f t="shared" si="1"/>
        <v>999.6</v>
      </c>
      <c r="P40" s="4">
        <f t="shared" si="2"/>
        <v>8996.4</v>
      </c>
      <c r="Q40" s="4">
        <f>G40*IFERROR(VLOOKUP(D40,Product_Master!$A$2:$F$13,6,FALSE),0)</f>
        <v>5800</v>
      </c>
      <c r="R40" s="4">
        <f t="shared" si="3"/>
        <v>3196.3999999999996</v>
      </c>
      <c r="S40" s="5">
        <f t="shared" si="4"/>
        <v>0.35529767462540568</v>
      </c>
    </row>
    <row r="41" spans="1:19" x14ac:dyDescent="0.3">
      <c r="A41" t="s">
        <v>90</v>
      </c>
      <c r="B41" s="2">
        <v>45699</v>
      </c>
      <c r="C41" t="s">
        <v>37</v>
      </c>
      <c r="D41" t="s">
        <v>48</v>
      </c>
      <c r="E41" t="str">
        <f>IFERROR(VLOOKUP(C41,Customer_Master!$A$2:$E$16,4,FALSE),"")</f>
        <v>North</v>
      </c>
      <c r="F41" t="str">
        <f>IFERROR(VLOOKUP(C41,Customer_Master!$A$2:$E$16,5,FALSE),"")</f>
        <v>Consumer</v>
      </c>
      <c r="G41">
        <v>1</v>
      </c>
      <c r="H41" s="3">
        <v>0</v>
      </c>
      <c r="I41" t="s">
        <v>54</v>
      </c>
      <c r="J41" t="s">
        <v>23</v>
      </c>
      <c r="K41" s="4">
        <f>IFERROR(VLOOKUP(D41,Product_Master!$A$2:$F$13,5,FALSE),0)</f>
        <v>62999</v>
      </c>
      <c r="L41" t="str">
        <f>IFERROR(VLOOKUP(D41,Product_Master!$A$2:$F$13,2,FALSE),"")</f>
        <v>Laptop Air 13</v>
      </c>
      <c r="M41" t="str">
        <f>IFERROR(VLOOKUP(D41,Product_Master!$A$2:$F$13,3,FALSE),"")</f>
        <v>Electronics</v>
      </c>
      <c r="N41" s="4">
        <f t="shared" si="0"/>
        <v>62999</v>
      </c>
      <c r="O41" s="4">
        <f t="shared" si="1"/>
        <v>0</v>
      </c>
      <c r="P41" s="4">
        <f t="shared" si="2"/>
        <v>62999</v>
      </c>
      <c r="Q41" s="4">
        <f>G41*IFERROR(VLOOKUP(D41,Product_Master!$A$2:$F$13,6,FALSE),0)</f>
        <v>49000</v>
      </c>
      <c r="R41" s="4">
        <f t="shared" si="3"/>
        <v>13999</v>
      </c>
      <c r="S41" s="5">
        <f t="shared" si="4"/>
        <v>0.2222098763472436</v>
      </c>
    </row>
    <row r="42" spans="1:19" x14ac:dyDescent="0.3">
      <c r="A42" t="s">
        <v>91</v>
      </c>
      <c r="B42" s="2">
        <v>45856</v>
      </c>
      <c r="C42" t="s">
        <v>74</v>
      </c>
      <c r="D42" t="s">
        <v>92</v>
      </c>
      <c r="E42" t="str">
        <f>IFERROR(VLOOKUP(C42,Customer_Master!$A$2:$E$16,4,FALSE),"")</f>
        <v>East</v>
      </c>
      <c r="F42" t="str">
        <f>IFERROR(VLOOKUP(C42,Customer_Master!$A$2:$E$16,5,FALSE),"")</f>
        <v>Consumer</v>
      </c>
      <c r="G42">
        <v>6</v>
      </c>
      <c r="H42" s="3">
        <v>0.15</v>
      </c>
      <c r="I42" t="s">
        <v>49</v>
      </c>
      <c r="J42" t="s">
        <v>23</v>
      </c>
      <c r="K42" s="4">
        <f>IFERROR(VLOOKUP(D42,Product_Master!$A$2:$F$13,5,FALSE),0)</f>
        <v>4999</v>
      </c>
      <c r="L42" t="str">
        <f>IFERROR(VLOOKUP(D42,Product_Master!$A$2:$F$13,2,FALSE),"")</f>
        <v>Wireless Headphones</v>
      </c>
      <c r="M42" t="str">
        <f>IFERROR(VLOOKUP(D42,Product_Master!$A$2:$F$13,3,FALSE),"")</f>
        <v>Electronics</v>
      </c>
      <c r="N42" s="4">
        <f t="shared" si="0"/>
        <v>29994</v>
      </c>
      <c r="O42" s="4">
        <f t="shared" si="1"/>
        <v>4499.0999999999995</v>
      </c>
      <c r="P42" s="4">
        <f t="shared" si="2"/>
        <v>25494.9</v>
      </c>
      <c r="Q42" s="4">
        <f>G42*IFERROR(VLOOKUP(D42,Product_Master!$A$2:$F$13,6,FALSE),0)</f>
        <v>17400</v>
      </c>
      <c r="R42" s="4">
        <f t="shared" si="3"/>
        <v>8094.9000000000015</v>
      </c>
      <c r="S42" s="5">
        <f t="shared" si="4"/>
        <v>0.31751056093571661</v>
      </c>
    </row>
    <row r="43" spans="1:19" x14ac:dyDescent="0.3">
      <c r="A43" t="s">
        <v>93</v>
      </c>
      <c r="B43" s="2">
        <v>45700</v>
      </c>
      <c r="C43" t="s">
        <v>20</v>
      </c>
      <c r="D43" t="s">
        <v>21</v>
      </c>
      <c r="E43" t="str">
        <f>IFERROR(VLOOKUP(C43,Customer_Master!$A$2:$E$16,4,FALSE),"")</f>
        <v>South</v>
      </c>
      <c r="F43" t="str">
        <f>IFERROR(VLOOKUP(C43,Customer_Master!$A$2:$E$16,5,FALSE),"")</f>
        <v>Small Business</v>
      </c>
      <c r="G43">
        <v>5</v>
      </c>
      <c r="H43" s="3">
        <v>0.15</v>
      </c>
      <c r="I43" t="s">
        <v>29</v>
      </c>
      <c r="J43" t="s">
        <v>23</v>
      </c>
      <c r="K43" s="4">
        <f>IFERROR(VLOOKUP(D43,Product_Master!$A$2:$F$13,5,FALSE),0)</f>
        <v>1499</v>
      </c>
      <c r="L43" t="str">
        <f>IFERROR(VLOOKUP(D43,Product_Master!$A$2:$F$13,2,FALSE),"")</f>
        <v>Wireless Mouse</v>
      </c>
      <c r="M43" t="str">
        <f>IFERROR(VLOOKUP(D43,Product_Master!$A$2:$F$13,3,FALSE),"")</f>
        <v>Accessories</v>
      </c>
      <c r="N43" s="4">
        <f t="shared" si="0"/>
        <v>7495</v>
      </c>
      <c r="O43" s="4">
        <f t="shared" si="1"/>
        <v>1124.25</v>
      </c>
      <c r="P43" s="4">
        <f t="shared" si="2"/>
        <v>6370.75</v>
      </c>
      <c r="Q43" s="4">
        <f>G43*IFERROR(VLOOKUP(D43,Product_Master!$A$2:$F$13,6,FALSE),0)</f>
        <v>3750</v>
      </c>
      <c r="R43" s="4">
        <f t="shared" si="3"/>
        <v>2620.75</v>
      </c>
      <c r="S43" s="5">
        <f t="shared" si="4"/>
        <v>0.41137228740729115</v>
      </c>
    </row>
    <row r="44" spans="1:19" x14ac:dyDescent="0.3">
      <c r="A44" t="s">
        <v>94</v>
      </c>
      <c r="B44" s="2">
        <v>45904</v>
      </c>
      <c r="C44" t="s">
        <v>37</v>
      </c>
      <c r="D44" t="s">
        <v>48</v>
      </c>
      <c r="E44" t="str">
        <f>IFERROR(VLOOKUP(C44,Customer_Master!$A$2:$E$16,4,FALSE),"")</f>
        <v>North</v>
      </c>
      <c r="F44" t="str">
        <f>IFERROR(VLOOKUP(C44,Customer_Master!$A$2:$E$16,5,FALSE),"")</f>
        <v>Consumer</v>
      </c>
      <c r="G44">
        <v>1</v>
      </c>
      <c r="H44" s="3">
        <v>0.05</v>
      </c>
      <c r="I44" t="s">
        <v>29</v>
      </c>
      <c r="J44" t="s">
        <v>23</v>
      </c>
      <c r="K44" s="4">
        <f>IFERROR(VLOOKUP(D44,Product_Master!$A$2:$F$13,5,FALSE),0)</f>
        <v>62999</v>
      </c>
      <c r="L44" t="str">
        <f>IFERROR(VLOOKUP(D44,Product_Master!$A$2:$F$13,2,FALSE),"")</f>
        <v>Laptop Air 13</v>
      </c>
      <c r="M44" t="str">
        <f>IFERROR(VLOOKUP(D44,Product_Master!$A$2:$F$13,3,FALSE),"")</f>
        <v>Electronics</v>
      </c>
      <c r="N44" s="4">
        <f t="shared" si="0"/>
        <v>62999</v>
      </c>
      <c r="O44" s="4">
        <f t="shared" si="1"/>
        <v>3149.9500000000003</v>
      </c>
      <c r="P44" s="4">
        <f t="shared" si="2"/>
        <v>59849.05</v>
      </c>
      <c r="Q44" s="4">
        <f>G44*IFERROR(VLOOKUP(D44,Product_Master!$A$2:$F$13,6,FALSE),0)</f>
        <v>49000</v>
      </c>
      <c r="R44" s="4">
        <f t="shared" si="3"/>
        <v>10849.050000000003</v>
      </c>
      <c r="S44" s="5">
        <f t="shared" si="4"/>
        <v>0.18127355404973014</v>
      </c>
    </row>
    <row r="45" spans="1:19" x14ac:dyDescent="0.3">
      <c r="A45" t="s">
        <v>95</v>
      </c>
      <c r="B45" s="2">
        <v>45995</v>
      </c>
      <c r="C45" t="s">
        <v>47</v>
      </c>
      <c r="D45" t="s">
        <v>70</v>
      </c>
      <c r="E45" t="str">
        <f>IFERROR(VLOOKUP(C45,Customer_Master!$A$2:$E$16,4,FALSE),"")</f>
        <v>West</v>
      </c>
      <c r="F45" t="str">
        <f>IFERROR(VLOOKUP(C45,Customer_Master!$A$2:$E$16,5,FALSE),"")</f>
        <v>Corporate</v>
      </c>
      <c r="G45">
        <v>4</v>
      </c>
      <c r="H45" s="3">
        <v>0.05</v>
      </c>
      <c r="I45" t="s">
        <v>29</v>
      </c>
      <c r="J45" t="s">
        <v>23</v>
      </c>
      <c r="K45" s="4">
        <f>IFERROR(VLOOKUP(D45,Product_Master!$A$2:$F$13,5,FALSE),0)</f>
        <v>2499</v>
      </c>
      <c r="L45" t="str">
        <f>IFERROR(VLOOKUP(D45,Product_Master!$A$2:$F$13,2,FALSE),"")</f>
        <v>USB-C Hub</v>
      </c>
      <c r="M45" t="str">
        <f>IFERROR(VLOOKUP(D45,Product_Master!$A$2:$F$13,3,FALSE),"")</f>
        <v>Accessories</v>
      </c>
      <c r="N45" s="4">
        <f t="shared" si="0"/>
        <v>9996</v>
      </c>
      <c r="O45" s="4">
        <f t="shared" si="1"/>
        <v>499.8</v>
      </c>
      <c r="P45" s="4">
        <f t="shared" si="2"/>
        <v>9496.2000000000007</v>
      </c>
      <c r="Q45" s="4">
        <f>G45*IFERROR(VLOOKUP(D45,Product_Master!$A$2:$F$13,6,FALSE),0)</f>
        <v>5800</v>
      </c>
      <c r="R45" s="4">
        <f t="shared" si="3"/>
        <v>3696.2000000000007</v>
      </c>
      <c r="S45" s="5">
        <f t="shared" si="4"/>
        <v>0.38922937596091073</v>
      </c>
    </row>
    <row r="46" spans="1:19" x14ac:dyDescent="0.3">
      <c r="A46" t="s">
        <v>96</v>
      </c>
      <c r="B46" s="2">
        <v>46005</v>
      </c>
      <c r="C46" t="s">
        <v>76</v>
      </c>
      <c r="D46" t="s">
        <v>62</v>
      </c>
      <c r="E46" t="str">
        <f>IFERROR(VLOOKUP(C46,Customer_Master!$A$2:$E$16,4,FALSE),"")</f>
        <v>West</v>
      </c>
      <c r="F46" t="str">
        <f>IFERROR(VLOOKUP(C46,Customer_Master!$A$2:$E$16,5,FALSE),"")</f>
        <v>Small Business</v>
      </c>
      <c r="G46">
        <v>5</v>
      </c>
      <c r="H46" s="3">
        <v>0.05</v>
      </c>
      <c r="I46" t="s">
        <v>22</v>
      </c>
      <c r="J46" t="s">
        <v>23</v>
      </c>
      <c r="K46" s="4">
        <f>IFERROR(VLOOKUP(D46,Product_Master!$A$2:$F$13,5,FALSE),0)</f>
        <v>39999</v>
      </c>
      <c r="L46" t="str">
        <f>IFERROR(VLOOKUP(D46,Product_Master!$A$2:$F$13,2,FALSE),"")</f>
        <v>Smartphone X</v>
      </c>
      <c r="M46" t="str">
        <f>IFERROR(VLOOKUP(D46,Product_Master!$A$2:$F$13,3,FALSE),"")</f>
        <v>Electronics</v>
      </c>
      <c r="N46" s="4">
        <f t="shared" si="0"/>
        <v>199995</v>
      </c>
      <c r="O46" s="4">
        <f t="shared" si="1"/>
        <v>9999.75</v>
      </c>
      <c r="P46" s="4">
        <f t="shared" si="2"/>
        <v>189995.25</v>
      </c>
      <c r="Q46" s="4">
        <f>G46*IFERROR(VLOOKUP(D46,Product_Master!$A$2:$F$13,6,FALSE),0)</f>
        <v>150000</v>
      </c>
      <c r="R46" s="4">
        <f t="shared" si="3"/>
        <v>39995.25</v>
      </c>
      <c r="S46" s="5">
        <f t="shared" si="4"/>
        <v>0.21050657845393503</v>
      </c>
    </row>
    <row r="47" spans="1:19" x14ac:dyDescent="0.3">
      <c r="A47" t="s">
        <v>97</v>
      </c>
      <c r="B47" s="2">
        <v>45995</v>
      </c>
      <c r="C47" t="s">
        <v>47</v>
      </c>
      <c r="D47" t="s">
        <v>92</v>
      </c>
      <c r="E47" t="str">
        <f>IFERROR(VLOOKUP(C47,Customer_Master!$A$2:$E$16,4,FALSE),"")</f>
        <v>West</v>
      </c>
      <c r="F47" t="str">
        <f>IFERROR(VLOOKUP(C47,Customer_Master!$A$2:$E$16,5,FALSE),"")</f>
        <v>Corporate</v>
      </c>
      <c r="G47">
        <v>4</v>
      </c>
      <c r="H47" s="3">
        <v>0.1</v>
      </c>
      <c r="I47" t="s">
        <v>26</v>
      </c>
      <c r="J47" t="s">
        <v>23</v>
      </c>
      <c r="K47" s="4">
        <f>IFERROR(VLOOKUP(D47,Product_Master!$A$2:$F$13,5,FALSE),0)</f>
        <v>4999</v>
      </c>
      <c r="L47" t="str">
        <f>IFERROR(VLOOKUP(D47,Product_Master!$A$2:$F$13,2,FALSE),"")</f>
        <v>Wireless Headphones</v>
      </c>
      <c r="M47" t="str">
        <f>IFERROR(VLOOKUP(D47,Product_Master!$A$2:$F$13,3,FALSE),"")</f>
        <v>Electronics</v>
      </c>
      <c r="N47" s="4">
        <f t="shared" si="0"/>
        <v>19996</v>
      </c>
      <c r="O47" s="4">
        <f t="shared" si="1"/>
        <v>1999.6000000000001</v>
      </c>
      <c r="P47" s="4">
        <f t="shared" si="2"/>
        <v>17996.400000000001</v>
      </c>
      <c r="Q47" s="4">
        <f>G47*IFERROR(VLOOKUP(D47,Product_Master!$A$2:$F$13,6,FALSE),0)</f>
        <v>11600</v>
      </c>
      <c r="R47" s="4">
        <f t="shared" si="3"/>
        <v>6396.4000000000015</v>
      </c>
      <c r="S47" s="5">
        <f t="shared" si="4"/>
        <v>0.35542664088373238</v>
      </c>
    </row>
    <row r="48" spans="1:19" x14ac:dyDescent="0.3">
      <c r="A48" t="s">
        <v>98</v>
      </c>
      <c r="B48" s="2">
        <v>45786</v>
      </c>
      <c r="C48" t="s">
        <v>32</v>
      </c>
      <c r="D48" t="s">
        <v>43</v>
      </c>
      <c r="E48" t="str">
        <f>IFERROR(VLOOKUP(C48,Customer_Master!$A$2:$E$16,4,FALSE),"")</f>
        <v>East</v>
      </c>
      <c r="F48" t="str">
        <f>IFERROR(VLOOKUP(C48,Customer_Master!$A$2:$E$16,5,FALSE),"")</f>
        <v>Corporate</v>
      </c>
      <c r="G48">
        <v>2</v>
      </c>
      <c r="H48" s="3">
        <v>0.1</v>
      </c>
      <c r="I48" t="s">
        <v>26</v>
      </c>
      <c r="J48" t="s">
        <v>23</v>
      </c>
      <c r="K48" s="4">
        <f>IFERROR(VLOOKUP(D48,Product_Master!$A$2:$F$13,5,FALSE),0)</f>
        <v>8999</v>
      </c>
      <c r="L48" t="str">
        <f>IFERROR(VLOOKUP(D48,Product_Master!$A$2:$F$13,2,FALSE),"")</f>
        <v>Office Chair</v>
      </c>
      <c r="M48" t="str">
        <f>IFERROR(VLOOKUP(D48,Product_Master!$A$2:$F$13,3,FALSE),"")</f>
        <v>Furniture</v>
      </c>
      <c r="N48" s="4">
        <f t="shared" si="0"/>
        <v>17998</v>
      </c>
      <c r="O48" s="4">
        <f t="shared" si="1"/>
        <v>1799.8000000000002</v>
      </c>
      <c r="P48" s="4">
        <f t="shared" si="2"/>
        <v>16198.2</v>
      </c>
      <c r="Q48" s="4">
        <f>G48*IFERROR(VLOOKUP(D48,Product_Master!$A$2:$F$13,6,FALSE),0)</f>
        <v>12200</v>
      </c>
      <c r="R48" s="4">
        <f t="shared" si="3"/>
        <v>3998.2000000000007</v>
      </c>
      <c r="S48" s="5">
        <f t="shared" si="4"/>
        <v>0.2468298946796558</v>
      </c>
    </row>
    <row r="49" spans="1:19" x14ac:dyDescent="0.3">
      <c r="A49" t="s">
        <v>99</v>
      </c>
      <c r="B49" s="2">
        <v>45956</v>
      </c>
      <c r="C49" t="s">
        <v>32</v>
      </c>
      <c r="D49" t="s">
        <v>41</v>
      </c>
      <c r="E49" t="str">
        <f>IFERROR(VLOOKUP(C49,Customer_Master!$A$2:$E$16,4,FALSE),"")</f>
        <v>East</v>
      </c>
      <c r="F49" t="str">
        <f>IFERROR(VLOOKUP(C49,Customer_Master!$A$2:$E$16,5,FALSE),"")</f>
        <v>Corporate</v>
      </c>
      <c r="G49">
        <v>3</v>
      </c>
      <c r="H49" s="3">
        <v>0.05</v>
      </c>
      <c r="I49" t="s">
        <v>26</v>
      </c>
      <c r="J49" t="s">
        <v>23</v>
      </c>
      <c r="K49" s="4">
        <f>IFERROR(VLOOKUP(D49,Product_Master!$A$2:$F$13,5,FALSE),0)</f>
        <v>24999</v>
      </c>
      <c r="L49" t="str">
        <f>IFERROR(VLOOKUP(D49,Product_Master!$A$2:$F$13,2,FALSE),"")</f>
        <v>Smartphone Lite</v>
      </c>
      <c r="M49" t="str">
        <f>IFERROR(VLOOKUP(D49,Product_Master!$A$2:$F$13,3,FALSE),"")</f>
        <v>Electronics</v>
      </c>
      <c r="N49" s="4">
        <f t="shared" si="0"/>
        <v>74997</v>
      </c>
      <c r="O49" s="4">
        <f t="shared" si="1"/>
        <v>3749.8500000000004</v>
      </c>
      <c r="P49" s="4">
        <f t="shared" si="2"/>
        <v>71247.149999999994</v>
      </c>
      <c r="Q49" s="4">
        <f>G49*IFERROR(VLOOKUP(D49,Product_Master!$A$2:$F$13,6,FALSE),0)</f>
        <v>55500</v>
      </c>
      <c r="R49" s="4">
        <f t="shared" si="3"/>
        <v>15747.149999999994</v>
      </c>
      <c r="S49" s="5">
        <f t="shared" si="4"/>
        <v>0.22102147243784481</v>
      </c>
    </row>
    <row r="50" spans="1:19" x14ac:dyDescent="0.3">
      <c r="A50" t="s">
        <v>100</v>
      </c>
      <c r="B50" s="2">
        <v>45678</v>
      </c>
      <c r="C50" t="s">
        <v>20</v>
      </c>
      <c r="D50" t="s">
        <v>92</v>
      </c>
      <c r="E50" t="str">
        <f>IFERROR(VLOOKUP(C50,Customer_Master!$A$2:$E$16,4,FALSE),"")</f>
        <v>South</v>
      </c>
      <c r="F50" t="str">
        <f>IFERROR(VLOOKUP(C50,Customer_Master!$A$2:$E$16,5,FALSE),"")</f>
        <v>Small Business</v>
      </c>
      <c r="G50">
        <v>6</v>
      </c>
      <c r="H50" s="3">
        <v>0</v>
      </c>
      <c r="I50" t="s">
        <v>54</v>
      </c>
      <c r="J50" t="s">
        <v>23</v>
      </c>
      <c r="K50" s="4">
        <f>IFERROR(VLOOKUP(D50,Product_Master!$A$2:$F$13,5,FALSE),0)</f>
        <v>4999</v>
      </c>
      <c r="L50" t="str">
        <f>IFERROR(VLOOKUP(D50,Product_Master!$A$2:$F$13,2,FALSE),"")</f>
        <v>Wireless Headphones</v>
      </c>
      <c r="M50" t="str">
        <f>IFERROR(VLOOKUP(D50,Product_Master!$A$2:$F$13,3,FALSE),"")</f>
        <v>Electronics</v>
      </c>
      <c r="N50" s="4">
        <f t="shared" si="0"/>
        <v>29994</v>
      </c>
      <c r="O50" s="4">
        <f t="shared" si="1"/>
        <v>0</v>
      </c>
      <c r="P50" s="4">
        <f t="shared" si="2"/>
        <v>29994</v>
      </c>
      <c r="Q50" s="4">
        <f>G50*IFERROR(VLOOKUP(D50,Product_Master!$A$2:$F$13,6,FALSE),0)</f>
        <v>17400</v>
      </c>
      <c r="R50" s="4">
        <f t="shared" si="3"/>
        <v>12594</v>
      </c>
      <c r="S50" s="5">
        <f t="shared" si="4"/>
        <v>0.41988397679535905</v>
      </c>
    </row>
    <row r="51" spans="1:19" x14ac:dyDescent="0.3">
      <c r="A51" t="s">
        <v>101</v>
      </c>
      <c r="B51" s="2">
        <v>45899</v>
      </c>
      <c r="C51" t="s">
        <v>102</v>
      </c>
      <c r="D51" t="s">
        <v>33</v>
      </c>
      <c r="E51" t="str">
        <f>IFERROR(VLOOKUP(C51,Customer_Master!$A$2:$E$16,4,FALSE),"")</f>
        <v>West</v>
      </c>
      <c r="F51" t="str">
        <f>IFERROR(VLOOKUP(C51,Customer_Master!$A$2:$E$16,5,FALSE),"")</f>
        <v>Consumer</v>
      </c>
      <c r="G51">
        <v>3</v>
      </c>
      <c r="H51" s="3">
        <v>0.05</v>
      </c>
      <c r="I51" t="s">
        <v>49</v>
      </c>
      <c r="J51" t="s">
        <v>23</v>
      </c>
      <c r="K51" s="4">
        <f>IFERROR(VLOOKUP(D51,Product_Master!$A$2:$F$13,5,FALSE),0)</f>
        <v>3999</v>
      </c>
      <c r="L51" t="str">
        <f>IFERROR(VLOOKUP(D51,Product_Master!$A$2:$F$13,2,FALSE),"")</f>
        <v>Mechanical Keyboard</v>
      </c>
      <c r="M51" t="str">
        <f>IFERROR(VLOOKUP(D51,Product_Master!$A$2:$F$13,3,FALSE),"")</f>
        <v>Accessories</v>
      </c>
      <c r="N51" s="4">
        <f t="shared" si="0"/>
        <v>11997</v>
      </c>
      <c r="O51" s="4">
        <f t="shared" si="1"/>
        <v>599.85</v>
      </c>
      <c r="P51" s="4">
        <f t="shared" si="2"/>
        <v>11397.15</v>
      </c>
      <c r="Q51" s="4">
        <f>G51*IFERROR(VLOOKUP(D51,Product_Master!$A$2:$F$13,6,FALSE),0)</f>
        <v>7050</v>
      </c>
      <c r="R51" s="4">
        <f t="shared" si="3"/>
        <v>4347.1499999999996</v>
      </c>
      <c r="S51" s="5">
        <f t="shared" si="4"/>
        <v>0.38142430344428213</v>
      </c>
    </row>
    <row r="52" spans="1:19" x14ac:dyDescent="0.3">
      <c r="A52" t="s">
        <v>103</v>
      </c>
      <c r="B52" s="2">
        <v>45910</v>
      </c>
      <c r="C52" t="s">
        <v>82</v>
      </c>
      <c r="D52" t="s">
        <v>21</v>
      </c>
      <c r="E52" t="str">
        <f>IFERROR(VLOOKUP(C52,Customer_Master!$A$2:$E$16,4,FALSE),"")</f>
        <v>Central</v>
      </c>
      <c r="F52" t="str">
        <f>IFERROR(VLOOKUP(C52,Customer_Master!$A$2:$E$16,5,FALSE),"")</f>
        <v>Small Business</v>
      </c>
      <c r="G52">
        <v>6</v>
      </c>
      <c r="H52" s="3">
        <v>0.05</v>
      </c>
      <c r="I52" t="s">
        <v>22</v>
      </c>
      <c r="J52" t="s">
        <v>23</v>
      </c>
      <c r="K52" s="4">
        <f>IFERROR(VLOOKUP(D52,Product_Master!$A$2:$F$13,5,FALSE),0)</f>
        <v>1499</v>
      </c>
      <c r="L52" t="str">
        <f>IFERROR(VLOOKUP(D52,Product_Master!$A$2:$F$13,2,FALSE),"")</f>
        <v>Wireless Mouse</v>
      </c>
      <c r="M52" t="str">
        <f>IFERROR(VLOOKUP(D52,Product_Master!$A$2:$F$13,3,FALSE),"")</f>
        <v>Accessories</v>
      </c>
      <c r="N52" s="4">
        <f t="shared" si="0"/>
        <v>8994</v>
      </c>
      <c r="O52" s="4">
        <f t="shared" si="1"/>
        <v>449.70000000000005</v>
      </c>
      <c r="P52" s="4">
        <f t="shared" si="2"/>
        <v>8544.2999999999993</v>
      </c>
      <c r="Q52" s="4">
        <f>G52*IFERROR(VLOOKUP(D52,Product_Master!$A$2:$F$13,6,FALSE),0)</f>
        <v>4500</v>
      </c>
      <c r="R52" s="4">
        <f t="shared" si="3"/>
        <v>4044.2999999999993</v>
      </c>
      <c r="S52" s="5">
        <f t="shared" si="4"/>
        <v>0.47333309925915518</v>
      </c>
    </row>
    <row r="53" spans="1:19" x14ac:dyDescent="0.3">
      <c r="A53" t="s">
        <v>104</v>
      </c>
      <c r="B53" s="2">
        <v>45674</v>
      </c>
      <c r="C53" t="s">
        <v>45</v>
      </c>
      <c r="D53" t="s">
        <v>48</v>
      </c>
      <c r="E53" t="str">
        <f>IFERROR(VLOOKUP(C53,Customer_Master!$A$2:$E$16,4,FALSE),"")</f>
        <v>North</v>
      </c>
      <c r="F53" t="str">
        <f>IFERROR(VLOOKUP(C53,Customer_Master!$A$2:$E$16,5,FALSE),"")</f>
        <v>Consumer</v>
      </c>
      <c r="G53">
        <v>3</v>
      </c>
      <c r="H53" s="3">
        <v>0.15</v>
      </c>
      <c r="I53" t="s">
        <v>29</v>
      </c>
      <c r="J53" t="s">
        <v>23</v>
      </c>
      <c r="K53" s="4">
        <f>IFERROR(VLOOKUP(D53,Product_Master!$A$2:$F$13,5,FALSE),0)</f>
        <v>62999</v>
      </c>
      <c r="L53" t="str">
        <f>IFERROR(VLOOKUP(D53,Product_Master!$A$2:$F$13,2,FALSE),"")</f>
        <v>Laptop Air 13</v>
      </c>
      <c r="M53" t="str">
        <f>IFERROR(VLOOKUP(D53,Product_Master!$A$2:$F$13,3,FALSE),"")</f>
        <v>Electronics</v>
      </c>
      <c r="N53" s="4">
        <f t="shared" si="0"/>
        <v>188997</v>
      </c>
      <c r="O53" s="4">
        <f t="shared" si="1"/>
        <v>28349.55</v>
      </c>
      <c r="P53" s="4">
        <f t="shared" si="2"/>
        <v>160647.45000000001</v>
      </c>
      <c r="Q53" s="4">
        <f>G53*IFERROR(VLOOKUP(D53,Product_Master!$A$2:$F$13,6,FALSE),0)</f>
        <v>147000</v>
      </c>
      <c r="R53" s="4">
        <f t="shared" si="3"/>
        <v>13647.450000000012</v>
      </c>
      <c r="S53" s="5">
        <f t="shared" si="4"/>
        <v>8.4952795702639611E-2</v>
      </c>
    </row>
    <row r="54" spans="1:19" x14ac:dyDescent="0.3">
      <c r="A54" t="s">
        <v>105</v>
      </c>
      <c r="B54" s="2">
        <v>45816</v>
      </c>
      <c r="C54" t="s">
        <v>37</v>
      </c>
      <c r="D54" t="s">
        <v>92</v>
      </c>
      <c r="E54" t="str">
        <f>IFERROR(VLOOKUP(C54,Customer_Master!$A$2:$E$16,4,FALSE),"")</f>
        <v>North</v>
      </c>
      <c r="F54" t="str">
        <f>IFERROR(VLOOKUP(C54,Customer_Master!$A$2:$E$16,5,FALSE),"")</f>
        <v>Consumer</v>
      </c>
      <c r="G54">
        <v>6</v>
      </c>
      <c r="H54" s="3">
        <v>0.15</v>
      </c>
      <c r="I54" t="s">
        <v>29</v>
      </c>
      <c r="J54" t="s">
        <v>23</v>
      </c>
      <c r="K54" s="4">
        <f>IFERROR(VLOOKUP(D54,Product_Master!$A$2:$F$13,5,FALSE),0)</f>
        <v>4999</v>
      </c>
      <c r="L54" t="str">
        <f>IFERROR(VLOOKUP(D54,Product_Master!$A$2:$F$13,2,FALSE),"")</f>
        <v>Wireless Headphones</v>
      </c>
      <c r="M54" t="str">
        <f>IFERROR(VLOOKUP(D54,Product_Master!$A$2:$F$13,3,FALSE),"")</f>
        <v>Electronics</v>
      </c>
      <c r="N54" s="4">
        <f t="shared" si="0"/>
        <v>29994</v>
      </c>
      <c r="O54" s="4">
        <f t="shared" si="1"/>
        <v>4499.0999999999995</v>
      </c>
      <c r="P54" s="4">
        <f t="shared" si="2"/>
        <v>25494.9</v>
      </c>
      <c r="Q54" s="4">
        <f>G54*IFERROR(VLOOKUP(D54,Product_Master!$A$2:$F$13,6,FALSE),0)</f>
        <v>17400</v>
      </c>
      <c r="R54" s="4">
        <f t="shared" si="3"/>
        <v>8094.9000000000015</v>
      </c>
      <c r="S54" s="5">
        <f t="shared" si="4"/>
        <v>0.31751056093571661</v>
      </c>
    </row>
    <row r="55" spans="1:19" x14ac:dyDescent="0.3">
      <c r="A55" t="s">
        <v>106</v>
      </c>
      <c r="B55" s="2">
        <v>45755</v>
      </c>
      <c r="C55" t="s">
        <v>32</v>
      </c>
      <c r="D55" t="s">
        <v>33</v>
      </c>
      <c r="E55" t="str">
        <f>IFERROR(VLOOKUP(C55,Customer_Master!$A$2:$E$16,4,FALSE),"")</f>
        <v>East</v>
      </c>
      <c r="F55" t="str">
        <f>IFERROR(VLOOKUP(C55,Customer_Master!$A$2:$E$16,5,FALSE),"")</f>
        <v>Corporate</v>
      </c>
      <c r="G55">
        <v>1</v>
      </c>
      <c r="H55" s="3">
        <v>0.05</v>
      </c>
      <c r="I55" t="s">
        <v>26</v>
      </c>
      <c r="J55" t="s">
        <v>23</v>
      </c>
      <c r="K55" s="4">
        <f>IFERROR(VLOOKUP(D55,Product_Master!$A$2:$F$13,5,FALSE),0)</f>
        <v>3999</v>
      </c>
      <c r="L55" t="str">
        <f>IFERROR(VLOOKUP(D55,Product_Master!$A$2:$F$13,2,FALSE),"")</f>
        <v>Mechanical Keyboard</v>
      </c>
      <c r="M55" t="str">
        <f>IFERROR(VLOOKUP(D55,Product_Master!$A$2:$F$13,3,FALSE),"")</f>
        <v>Accessories</v>
      </c>
      <c r="N55" s="4">
        <f t="shared" si="0"/>
        <v>3999</v>
      </c>
      <c r="O55" s="4">
        <f t="shared" si="1"/>
        <v>199.95000000000002</v>
      </c>
      <c r="P55" s="4">
        <f t="shared" si="2"/>
        <v>3799.05</v>
      </c>
      <c r="Q55" s="4">
        <f>G55*IFERROR(VLOOKUP(D55,Product_Master!$A$2:$F$13,6,FALSE),0)</f>
        <v>2350</v>
      </c>
      <c r="R55" s="4">
        <f t="shared" si="3"/>
        <v>1449.0500000000002</v>
      </c>
      <c r="S55" s="5">
        <f t="shared" si="4"/>
        <v>0.38142430344428213</v>
      </c>
    </row>
    <row r="56" spans="1:19" x14ac:dyDescent="0.3">
      <c r="A56" t="s">
        <v>107</v>
      </c>
      <c r="B56" s="2">
        <v>45980</v>
      </c>
      <c r="C56" t="s">
        <v>47</v>
      </c>
      <c r="D56" t="s">
        <v>38</v>
      </c>
      <c r="E56" t="str">
        <f>IFERROR(VLOOKUP(C56,Customer_Master!$A$2:$E$16,4,FALSE),"")</f>
        <v>West</v>
      </c>
      <c r="F56" t="str">
        <f>IFERROR(VLOOKUP(C56,Customer_Master!$A$2:$E$16,5,FALSE),"")</f>
        <v>Corporate</v>
      </c>
      <c r="G56">
        <v>1</v>
      </c>
      <c r="H56" s="3">
        <v>0.1</v>
      </c>
      <c r="I56" t="s">
        <v>29</v>
      </c>
      <c r="J56" t="s">
        <v>30</v>
      </c>
      <c r="K56" s="4">
        <f>IFERROR(VLOOKUP(D56,Product_Master!$A$2:$F$13,5,FALSE),0)</f>
        <v>74999</v>
      </c>
      <c r="L56" t="str">
        <f>IFERROR(VLOOKUP(D56,Product_Master!$A$2:$F$13,2,FALSE),"")</f>
        <v>Laptop Pro 14</v>
      </c>
      <c r="M56" t="str">
        <f>IFERROR(VLOOKUP(D56,Product_Master!$A$2:$F$13,3,FALSE),"")</f>
        <v>Electronics</v>
      </c>
      <c r="N56" s="4">
        <f t="shared" si="0"/>
        <v>74999</v>
      </c>
      <c r="O56" s="4">
        <f t="shared" si="1"/>
        <v>7499.9000000000005</v>
      </c>
      <c r="P56" s="4">
        <f t="shared" si="2"/>
        <v>67499.100000000006</v>
      </c>
      <c r="Q56" s="4">
        <f>G56*IFERROR(VLOOKUP(D56,Product_Master!$A$2:$F$13,6,FALSE),0)</f>
        <v>58500</v>
      </c>
      <c r="R56" s="4">
        <f t="shared" si="3"/>
        <v>8999.1000000000058</v>
      </c>
      <c r="S56" s="5">
        <f t="shared" si="4"/>
        <v>0.13332177762370173</v>
      </c>
    </row>
    <row r="57" spans="1:19" x14ac:dyDescent="0.3">
      <c r="A57" t="s">
        <v>108</v>
      </c>
      <c r="B57" s="2">
        <v>45846</v>
      </c>
      <c r="C57" t="s">
        <v>82</v>
      </c>
      <c r="D57" t="s">
        <v>43</v>
      </c>
      <c r="E57" t="str">
        <f>IFERROR(VLOOKUP(C57,Customer_Master!$A$2:$E$16,4,FALSE),"")</f>
        <v>Central</v>
      </c>
      <c r="F57" t="str">
        <f>IFERROR(VLOOKUP(C57,Customer_Master!$A$2:$E$16,5,FALSE),"")</f>
        <v>Small Business</v>
      </c>
      <c r="G57">
        <v>1</v>
      </c>
      <c r="H57" s="3">
        <v>0.05</v>
      </c>
      <c r="I57" t="s">
        <v>26</v>
      </c>
      <c r="J57" t="s">
        <v>23</v>
      </c>
      <c r="K57" s="4">
        <f>IFERROR(VLOOKUP(D57,Product_Master!$A$2:$F$13,5,FALSE),0)</f>
        <v>8999</v>
      </c>
      <c r="L57" t="str">
        <f>IFERROR(VLOOKUP(D57,Product_Master!$A$2:$F$13,2,FALSE),"")</f>
        <v>Office Chair</v>
      </c>
      <c r="M57" t="str">
        <f>IFERROR(VLOOKUP(D57,Product_Master!$A$2:$F$13,3,FALSE),"")</f>
        <v>Furniture</v>
      </c>
      <c r="N57" s="4">
        <f t="shared" si="0"/>
        <v>8999</v>
      </c>
      <c r="O57" s="4">
        <f t="shared" si="1"/>
        <v>449.95000000000005</v>
      </c>
      <c r="P57" s="4">
        <f t="shared" si="2"/>
        <v>8549.0499999999993</v>
      </c>
      <c r="Q57" s="4">
        <f>G57*IFERROR(VLOOKUP(D57,Product_Master!$A$2:$F$13,6,FALSE),0)</f>
        <v>6100</v>
      </c>
      <c r="R57" s="4">
        <f t="shared" si="3"/>
        <v>2449.0499999999993</v>
      </c>
      <c r="S57" s="5">
        <f t="shared" si="4"/>
        <v>0.2864704265386212</v>
      </c>
    </row>
    <row r="58" spans="1:19" x14ac:dyDescent="0.3">
      <c r="A58" t="s">
        <v>109</v>
      </c>
      <c r="B58" s="2">
        <v>45663</v>
      </c>
      <c r="C58" t="s">
        <v>76</v>
      </c>
      <c r="D58" t="s">
        <v>62</v>
      </c>
      <c r="E58" t="str">
        <f>IFERROR(VLOOKUP(C58,Customer_Master!$A$2:$E$16,4,FALSE),"")</f>
        <v>West</v>
      </c>
      <c r="F58" t="str">
        <f>IFERROR(VLOOKUP(C58,Customer_Master!$A$2:$E$16,5,FALSE),"")</f>
        <v>Small Business</v>
      </c>
      <c r="G58">
        <v>4</v>
      </c>
      <c r="H58" s="3">
        <v>0.15</v>
      </c>
      <c r="I58" t="s">
        <v>29</v>
      </c>
      <c r="J58" t="s">
        <v>23</v>
      </c>
      <c r="K58" s="4">
        <f>IFERROR(VLOOKUP(D58,Product_Master!$A$2:$F$13,5,FALSE),0)</f>
        <v>39999</v>
      </c>
      <c r="L58" t="str">
        <f>IFERROR(VLOOKUP(D58,Product_Master!$A$2:$F$13,2,FALSE),"")</f>
        <v>Smartphone X</v>
      </c>
      <c r="M58" t="str">
        <f>IFERROR(VLOOKUP(D58,Product_Master!$A$2:$F$13,3,FALSE),"")</f>
        <v>Electronics</v>
      </c>
      <c r="N58" s="4">
        <f t="shared" si="0"/>
        <v>159996</v>
      </c>
      <c r="O58" s="4">
        <f t="shared" si="1"/>
        <v>23999.399999999998</v>
      </c>
      <c r="P58" s="4">
        <f t="shared" si="2"/>
        <v>135996.6</v>
      </c>
      <c r="Q58" s="4">
        <f>G58*IFERROR(VLOOKUP(D58,Product_Master!$A$2:$F$13,6,FALSE),0)</f>
        <v>120000</v>
      </c>
      <c r="R58" s="4">
        <f t="shared" si="3"/>
        <v>15996.600000000006</v>
      </c>
      <c r="S58" s="5">
        <f t="shared" si="4"/>
        <v>0.11762499944851566</v>
      </c>
    </row>
    <row r="59" spans="1:19" x14ac:dyDescent="0.3">
      <c r="A59" t="s">
        <v>110</v>
      </c>
      <c r="B59" s="2">
        <v>45835</v>
      </c>
      <c r="C59" t="s">
        <v>61</v>
      </c>
      <c r="D59" t="s">
        <v>28</v>
      </c>
      <c r="E59" t="str">
        <f>IFERROR(VLOOKUP(C59,Customer_Master!$A$2:$E$16,4,FALSE),"")</f>
        <v>South</v>
      </c>
      <c r="F59" t="str">
        <f>IFERROR(VLOOKUP(C59,Customer_Master!$A$2:$E$16,5,FALSE),"")</f>
        <v>Consumer</v>
      </c>
      <c r="G59">
        <v>5</v>
      </c>
      <c r="H59" s="3">
        <v>0.15</v>
      </c>
      <c r="I59" t="s">
        <v>22</v>
      </c>
      <c r="J59" t="s">
        <v>30</v>
      </c>
      <c r="K59" s="4">
        <f>IFERROR(VLOOKUP(D59,Product_Master!$A$2:$F$13,5,FALSE),0)</f>
        <v>28999</v>
      </c>
      <c r="L59" t="str">
        <f>IFERROR(VLOOKUP(D59,Product_Master!$A$2:$F$13,2,FALSE),"")</f>
        <v>Tablet Plus</v>
      </c>
      <c r="M59" t="str">
        <f>IFERROR(VLOOKUP(D59,Product_Master!$A$2:$F$13,3,FALSE),"")</f>
        <v>Electronics</v>
      </c>
      <c r="N59" s="4">
        <f t="shared" si="0"/>
        <v>144995</v>
      </c>
      <c r="O59" s="4">
        <f t="shared" si="1"/>
        <v>21749.25</v>
      </c>
      <c r="P59" s="4">
        <f t="shared" si="2"/>
        <v>123245.75</v>
      </c>
      <c r="Q59" s="4">
        <f>G59*IFERROR(VLOOKUP(D59,Product_Master!$A$2:$F$13,6,FALSE),0)</f>
        <v>107500</v>
      </c>
      <c r="R59" s="4">
        <f t="shared" si="3"/>
        <v>15745.75</v>
      </c>
      <c r="S59" s="5">
        <f t="shared" si="4"/>
        <v>0.12775896937622597</v>
      </c>
    </row>
    <row r="60" spans="1:19" x14ac:dyDescent="0.3">
      <c r="A60" t="s">
        <v>111</v>
      </c>
      <c r="B60" s="2">
        <v>45859</v>
      </c>
      <c r="C60" t="s">
        <v>47</v>
      </c>
      <c r="D60" t="s">
        <v>62</v>
      </c>
      <c r="E60" t="str">
        <f>IFERROR(VLOOKUP(C60,Customer_Master!$A$2:$E$16,4,FALSE),"")</f>
        <v>West</v>
      </c>
      <c r="F60" t="str">
        <f>IFERROR(VLOOKUP(C60,Customer_Master!$A$2:$E$16,5,FALSE),"")</f>
        <v>Corporate</v>
      </c>
      <c r="G60">
        <v>6</v>
      </c>
      <c r="H60" s="3">
        <v>0.05</v>
      </c>
      <c r="I60" t="s">
        <v>29</v>
      </c>
      <c r="J60" t="s">
        <v>23</v>
      </c>
      <c r="K60" s="4">
        <f>IFERROR(VLOOKUP(D60,Product_Master!$A$2:$F$13,5,FALSE),0)</f>
        <v>39999</v>
      </c>
      <c r="L60" t="str">
        <f>IFERROR(VLOOKUP(D60,Product_Master!$A$2:$F$13,2,FALSE),"")</f>
        <v>Smartphone X</v>
      </c>
      <c r="M60" t="str">
        <f>IFERROR(VLOOKUP(D60,Product_Master!$A$2:$F$13,3,FALSE),"")</f>
        <v>Electronics</v>
      </c>
      <c r="N60" s="4">
        <f t="shared" si="0"/>
        <v>239994</v>
      </c>
      <c r="O60" s="4">
        <f t="shared" si="1"/>
        <v>11999.7</v>
      </c>
      <c r="P60" s="4">
        <f t="shared" si="2"/>
        <v>227994.3</v>
      </c>
      <c r="Q60" s="4">
        <f>G60*IFERROR(VLOOKUP(D60,Product_Master!$A$2:$F$13,6,FALSE),0)</f>
        <v>180000</v>
      </c>
      <c r="R60" s="4">
        <f t="shared" si="3"/>
        <v>47994.299999999988</v>
      </c>
      <c r="S60" s="5">
        <f t="shared" si="4"/>
        <v>0.210506578453935</v>
      </c>
    </row>
    <row r="61" spans="1:19" x14ac:dyDescent="0.3">
      <c r="A61" t="s">
        <v>112</v>
      </c>
      <c r="B61" s="2">
        <v>45856</v>
      </c>
      <c r="C61" t="s">
        <v>87</v>
      </c>
      <c r="D61" t="s">
        <v>52</v>
      </c>
      <c r="E61" t="str">
        <f>IFERROR(VLOOKUP(C61,Customer_Master!$A$2:$E$16,4,FALSE),"")</f>
        <v>East</v>
      </c>
      <c r="F61" t="str">
        <f>IFERROR(VLOOKUP(C61,Customer_Master!$A$2:$E$16,5,FALSE),"")</f>
        <v>Small Business</v>
      </c>
      <c r="G61">
        <v>2</v>
      </c>
      <c r="H61" s="3">
        <v>0.1</v>
      </c>
      <c r="I61" t="s">
        <v>49</v>
      </c>
      <c r="J61" t="s">
        <v>23</v>
      </c>
      <c r="K61" s="4">
        <f>IFERROR(VLOOKUP(D61,Product_Master!$A$2:$F$13,5,FALSE),0)</f>
        <v>6999</v>
      </c>
      <c r="L61" t="str">
        <f>IFERROR(VLOOKUP(D61,Product_Master!$A$2:$F$13,2,FALSE),"")</f>
        <v>Study Desk</v>
      </c>
      <c r="M61" t="str">
        <f>IFERROR(VLOOKUP(D61,Product_Master!$A$2:$F$13,3,FALSE),"")</f>
        <v>Furniture</v>
      </c>
      <c r="N61" s="4">
        <f t="shared" si="0"/>
        <v>13998</v>
      </c>
      <c r="O61" s="4">
        <f t="shared" si="1"/>
        <v>1399.8000000000002</v>
      </c>
      <c r="P61" s="4">
        <f t="shared" si="2"/>
        <v>12598.2</v>
      </c>
      <c r="Q61" s="4">
        <f>G61*IFERROR(VLOOKUP(D61,Product_Master!$A$2:$F$13,6,FALSE),0)</f>
        <v>9000</v>
      </c>
      <c r="R61" s="4">
        <f t="shared" si="3"/>
        <v>3598.2000000000007</v>
      </c>
      <c r="S61" s="5">
        <f t="shared" si="4"/>
        <v>0.28561223031861699</v>
      </c>
    </row>
    <row r="62" spans="1:19" x14ac:dyDescent="0.3">
      <c r="A62" t="s">
        <v>113</v>
      </c>
      <c r="B62" s="2">
        <v>45850</v>
      </c>
      <c r="C62" t="s">
        <v>82</v>
      </c>
      <c r="D62" t="s">
        <v>38</v>
      </c>
      <c r="E62" t="str">
        <f>IFERROR(VLOOKUP(C62,Customer_Master!$A$2:$E$16,4,FALSE),"")</f>
        <v>Central</v>
      </c>
      <c r="F62" t="str">
        <f>IFERROR(VLOOKUP(C62,Customer_Master!$A$2:$E$16,5,FALSE),"")</f>
        <v>Small Business</v>
      </c>
      <c r="G62">
        <v>5</v>
      </c>
      <c r="H62" s="3">
        <v>0.15</v>
      </c>
      <c r="I62" t="s">
        <v>22</v>
      </c>
      <c r="J62" t="s">
        <v>23</v>
      </c>
      <c r="K62" s="4">
        <f>IFERROR(VLOOKUP(D62,Product_Master!$A$2:$F$13,5,FALSE),0)</f>
        <v>74999</v>
      </c>
      <c r="L62" t="str">
        <f>IFERROR(VLOOKUP(D62,Product_Master!$A$2:$F$13,2,FALSE),"")</f>
        <v>Laptop Pro 14</v>
      </c>
      <c r="M62" t="str">
        <f>IFERROR(VLOOKUP(D62,Product_Master!$A$2:$F$13,3,FALSE),"")</f>
        <v>Electronics</v>
      </c>
      <c r="N62" s="4">
        <f t="shared" si="0"/>
        <v>374995</v>
      </c>
      <c r="O62" s="4">
        <f t="shared" si="1"/>
        <v>56249.25</v>
      </c>
      <c r="P62" s="4">
        <f t="shared" si="2"/>
        <v>318745.75</v>
      </c>
      <c r="Q62" s="4">
        <f>G62*IFERROR(VLOOKUP(D62,Product_Master!$A$2:$F$13,6,FALSE),0)</f>
        <v>292500</v>
      </c>
      <c r="R62" s="4">
        <f t="shared" si="3"/>
        <v>26245.75</v>
      </c>
      <c r="S62" s="5">
        <f t="shared" si="4"/>
        <v>8.2340705719213508E-2</v>
      </c>
    </row>
    <row r="63" spans="1:19" x14ac:dyDescent="0.3">
      <c r="A63" t="s">
        <v>114</v>
      </c>
      <c r="B63" s="2">
        <v>45991</v>
      </c>
      <c r="C63" t="s">
        <v>20</v>
      </c>
      <c r="D63" t="s">
        <v>92</v>
      </c>
      <c r="E63" t="str">
        <f>IFERROR(VLOOKUP(C63,Customer_Master!$A$2:$E$16,4,FALSE),"")</f>
        <v>South</v>
      </c>
      <c r="F63" t="str">
        <f>IFERROR(VLOOKUP(C63,Customer_Master!$A$2:$E$16,5,FALSE),"")</f>
        <v>Small Business</v>
      </c>
      <c r="G63">
        <v>2</v>
      </c>
      <c r="H63" s="3">
        <v>0</v>
      </c>
      <c r="I63" t="s">
        <v>29</v>
      </c>
      <c r="J63" t="s">
        <v>23</v>
      </c>
      <c r="K63" s="4">
        <f>IFERROR(VLOOKUP(D63,Product_Master!$A$2:$F$13,5,FALSE),0)</f>
        <v>4999</v>
      </c>
      <c r="L63" t="str">
        <f>IFERROR(VLOOKUP(D63,Product_Master!$A$2:$F$13,2,FALSE),"")</f>
        <v>Wireless Headphones</v>
      </c>
      <c r="M63" t="str">
        <f>IFERROR(VLOOKUP(D63,Product_Master!$A$2:$F$13,3,FALSE),"")</f>
        <v>Electronics</v>
      </c>
      <c r="N63" s="4">
        <f t="shared" si="0"/>
        <v>9998</v>
      </c>
      <c r="O63" s="4">
        <f t="shared" si="1"/>
        <v>0</v>
      </c>
      <c r="P63" s="4">
        <f t="shared" si="2"/>
        <v>9998</v>
      </c>
      <c r="Q63" s="4">
        <f>G63*IFERROR(VLOOKUP(D63,Product_Master!$A$2:$F$13,6,FALSE),0)</f>
        <v>5800</v>
      </c>
      <c r="R63" s="4">
        <f t="shared" si="3"/>
        <v>4198</v>
      </c>
      <c r="S63" s="5">
        <f t="shared" si="4"/>
        <v>0.41988397679535905</v>
      </c>
    </row>
    <row r="64" spans="1:19" x14ac:dyDescent="0.3">
      <c r="A64" t="s">
        <v>115</v>
      </c>
      <c r="B64" s="2">
        <v>45702</v>
      </c>
      <c r="C64" t="s">
        <v>61</v>
      </c>
      <c r="D64" t="s">
        <v>56</v>
      </c>
      <c r="E64" t="str">
        <f>IFERROR(VLOOKUP(C64,Customer_Master!$A$2:$E$16,4,FALSE),"")</f>
        <v>South</v>
      </c>
      <c r="F64" t="str">
        <f>IFERROR(VLOOKUP(C64,Customer_Master!$A$2:$E$16,5,FALSE),"")</f>
        <v>Consumer</v>
      </c>
      <c r="G64">
        <v>3</v>
      </c>
      <c r="H64" s="3">
        <v>0.15</v>
      </c>
      <c r="I64" t="s">
        <v>54</v>
      </c>
      <c r="J64" t="s">
        <v>23</v>
      </c>
      <c r="K64" s="4">
        <f>IFERROR(VLOOKUP(D64,Product_Master!$A$2:$F$13,5,FALSE),0)</f>
        <v>3499</v>
      </c>
      <c r="L64" t="str">
        <f>IFERROR(VLOOKUP(D64,Product_Master!$A$2:$F$13,2,FALSE),"")</f>
        <v>Bluetooth Speaker</v>
      </c>
      <c r="M64" t="str">
        <f>IFERROR(VLOOKUP(D64,Product_Master!$A$2:$F$13,3,FALSE),"")</f>
        <v>Electronics</v>
      </c>
      <c r="N64" s="4">
        <f t="shared" si="0"/>
        <v>10497</v>
      </c>
      <c r="O64" s="4">
        <f t="shared" si="1"/>
        <v>1574.55</v>
      </c>
      <c r="P64" s="4">
        <f t="shared" si="2"/>
        <v>8922.4500000000007</v>
      </c>
      <c r="Q64" s="4">
        <f>G64*IFERROR(VLOOKUP(D64,Product_Master!$A$2:$F$13,6,FALSE),0)</f>
        <v>6150</v>
      </c>
      <c r="R64" s="4">
        <f t="shared" si="3"/>
        <v>2772.4500000000007</v>
      </c>
      <c r="S64" s="5">
        <f t="shared" si="4"/>
        <v>0.31072743472925041</v>
      </c>
    </row>
    <row r="65" spans="1:19" x14ac:dyDescent="0.3">
      <c r="A65" t="s">
        <v>116</v>
      </c>
      <c r="B65" s="2">
        <v>45666</v>
      </c>
      <c r="C65" t="s">
        <v>87</v>
      </c>
      <c r="D65" t="s">
        <v>52</v>
      </c>
      <c r="E65" t="str">
        <f>IFERROR(VLOOKUP(C65,Customer_Master!$A$2:$E$16,4,FALSE),"")</f>
        <v>East</v>
      </c>
      <c r="F65" t="str">
        <f>IFERROR(VLOOKUP(C65,Customer_Master!$A$2:$E$16,5,FALSE),"")</f>
        <v>Small Business</v>
      </c>
      <c r="G65">
        <v>3</v>
      </c>
      <c r="H65" s="3">
        <v>0.15</v>
      </c>
      <c r="I65" t="s">
        <v>29</v>
      </c>
      <c r="J65" t="s">
        <v>23</v>
      </c>
      <c r="K65" s="4">
        <f>IFERROR(VLOOKUP(D65,Product_Master!$A$2:$F$13,5,FALSE),0)</f>
        <v>6999</v>
      </c>
      <c r="L65" t="str">
        <f>IFERROR(VLOOKUP(D65,Product_Master!$A$2:$F$13,2,FALSE),"")</f>
        <v>Study Desk</v>
      </c>
      <c r="M65" t="str">
        <f>IFERROR(VLOOKUP(D65,Product_Master!$A$2:$F$13,3,FALSE),"")</f>
        <v>Furniture</v>
      </c>
      <c r="N65" s="4">
        <f t="shared" si="0"/>
        <v>20997</v>
      </c>
      <c r="O65" s="4">
        <f t="shared" si="1"/>
        <v>3149.5499999999997</v>
      </c>
      <c r="P65" s="4">
        <f t="shared" si="2"/>
        <v>17847.45</v>
      </c>
      <c r="Q65" s="4">
        <f>G65*IFERROR(VLOOKUP(D65,Product_Master!$A$2:$F$13,6,FALSE),0)</f>
        <v>13500</v>
      </c>
      <c r="R65" s="4">
        <f t="shared" si="3"/>
        <v>4347.4500000000007</v>
      </c>
      <c r="S65" s="5">
        <f t="shared" si="4"/>
        <v>0.24358942033735914</v>
      </c>
    </row>
    <row r="66" spans="1:19" x14ac:dyDescent="0.3">
      <c r="A66" t="s">
        <v>117</v>
      </c>
      <c r="B66" s="2">
        <v>45939</v>
      </c>
      <c r="C66" t="s">
        <v>20</v>
      </c>
      <c r="D66" t="s">
        <v>92</v>
      </c>
      <c r="E66" t="str">
        <f>IFERROR(VLOOKUP(C66,Customer_Master!$A$2:$E$16,4,FALSE),"")</f>
        <v>South</v>
      </c>
      <c r="F66" t="str">
        <f>IFERROR(VLOOKUP(C66,Customer_Master!$A$2:$E$16,5,FALSE),"")</f>
        <v>Small Business</v>
      </c>
      <c r="G66">
        <v>4</v>
      </c>
      <c r="H66" s="3">
        <v>0.05</v>
      </c>
      <c r="I66" t="s">
        <v>49</v>
      </c>
      <c r="J66" t="s">
        <v>23</v>
      </c>
      <c r="K66" s="4">
        <f>IFERROR(VLOOKUP(D66,Product_Master!$A$2:$F$13,5,FALSE),0)</f>
        <v>4999</v>
      </c>
      <c r="L66" t="str">
        <f>IFERROR(VLOOKUP(D66,Product_Master!$A$2:$F$13,2,FALSE),"")</f>
        <v>Wireless Headphones</v>
      </c>
      <c r="M66" t="str">
        <f>IFERROR(VLOOKUP(D66,Product_Master!$A$2:$F$13,3,FALSE),"")</f>
        <v>Electronics</v>
      </c>
      <c r="N66" s="4">
        <f t="shared" ref="N66:N129" si="5">G66*K66</f>
        <v>19996</v>
      </c>
      <c r="O66" s="4">
        <f t="shared" ref="O66:O129" si="6">N66*H66</f>
        <v>999.80000000000007</v>
      </c>
      <c r="P66" s="4">
        <f t="shared" ref="P66:P129" si="7">N66-O66</f>
        <v>18996.2</v>
      </c>
      <c r="Q66" s="4">
        <f>G66*IFERROR(VLOOKUP(D66,Product_Master!$A$2:$F$13,6,FALSE),0)</f>
        <v>11600</v>
      </c>
      <c r="R66" s="4">
        <f t="shared" ref="R66:R129" si="8">P66-Q66</f>
        <v>7396.2000000000007</v>
      </c>
      <c r="S66" s="5">
        <f t="shared" ref="S66:S129" si="9">IFERROR(R66/P66,0)</f>
        <v>0.38935155452143061</v>
      </c>
    </row>
    <row r="67" spans="1:19" x14ac:dyDescent="0.3">
      <c r="A67" t="s">
        <v>118</v>
      </c>
      <c r="B67" s="2">
        <v>45877</v>
      </c>
      <c r="C67" t="s">
        <v>61</v>
      </c>
      <c r="D67" t="s">
        <v>48</v>
      </c>
      <c r="E67" t="str">
        <f>IFERROR(VLOOKUP(C67,Customer_Master!$A$2:$E$16,4,FALSE),"")</f>
        <v>South</v>
      </c>
      <c r="F67" t="str">
        <f>IFERROR(VLOOKUP(C67,Customer_Master!$A$2:$E$16,5,FALSE),"")</f>
        <v>Consumer</v>
      </c>
      <c r="G67">
        <v>1</v>
      </c>
      <c r="H67" s="3">
        <v>0.05</v>
      </c>
      <c r="I67" t="s">
        <v>22</v>
      </c>
      <c r="J67" t="s">
        <v>23</v>
      </c>
      <c r="K67" s="4">
        <f>IFERROR(VLOOKUP(D67,Product_Master!$A$2:$F$13,5,FALSE),0)</f>
        <v>62999</v>
      </c>
      <c r="L67" t="str">
        <f>IFERROR(VLOOKUP(D67,Product_Master!$A$2:$F$13,2,FALSE),"")</f>
        <v>Laptop Air 13</v>
      </c>
      <c r="M67" t="str">
        <f>IFERROR(VLOOKUP(D67,Product_Master!$A$2:$F$13,3,FALSE),"")</f>
        <v>Electronics</v>
      </c>
      <c r="N67" s="4">
        <f t="shared" si="5"/>
        <v>62999</v>
      </c>
      <c r="O67" s="4">
        <f t="shared" si="6"/>
        <v>3149.9500000000003</v>
      </c>
      <c r="P67" s="4">
        <f t="shared" si="7"/>
        <v>59849.05</v>
      </c>
      <c r="Q67" s="4">
        <f>G67*IFERROR(VLOOKUP(D67,Product_Master!$A$2:$F$13,6,FALSE),0)</f>
        <v>49000</v>
      </c>
      <c r="R67" s="4">
        <f t="shared" si="8"/>
        <v>10849.050000000003</v>
      </c>
      <c r="S67" s="5">
        <f t="shared" si="9"/>
        <v>0.18127355404973014</v>
      </c>
    </row>
    <row r="68" spans="1:19" x14ac:dyDescent="0.3">
      <c r="A68" t="s">
        <v>119</v>
      </c>
      <c r="B68" s="2">
        <v>45898</v>
      </c>
      <c r="C68" t="s">
        <v>82</v>
      </c>
      <c r="D68" t="s">
        <v>62</v>
      </c>
      <c r="E68" t="str">
        <f>IFERROR(VLOOKUP(C68,Customer_Master!$A$2:$E$16,4,FALSE),"")</f>
        <v>Central</v>
      </c>
      <c r="F68" t="str">
        <f>IFERROR(VLOOKUP(C68,Customer_Master!$A$2:$E$16,5,FALSE),"")</f>
        <v>Small Business</v>
      </c>
      <c r="G68">
        <v>2</v>
      </c>
      <c r="H68" s="3">
        <v>0.15</v>
      </c>
      <c r="I68" t="s">
        <v>22</v>
      </c>
      <c r="J68" t="s">
        <v>23</v>
      </c>
      <c r="K68" s="4">
        <f>IFERROR(VLOOKUP(D68,Product_Master!$A$2:$F$13,5,FALSE),0)</f>
        <v>39999</v>
      </c>
      <c r="L68" t="str">
        <f>IFERROR(VLOOKUP(D68,Product_Master!$A$2:$F$13,2,FALSE),"")</f>
        <v>Smartphone X</v>
      </c>
      <c r="M68" t="str">
        <f>IFERROR(VLOOKUP(D68,Product_Master!$A$2:$F$13,3,FALSE),"")</f>
        <v>Electronics</v>
      </c>
      <c r="N68" s="4">
        <f t="shared" si="5"/>
        <v>79998</v>
      </c>
      <c r="O68" s="4">
        <f t="shared" si="6"/>
        <v>11999.699999999999</v>
      </c>
      <c r="P68" s="4">
        <f t="shared" si="7"/>
        <v>67998.3</v>
      </c>
      <c r="Q68" s="4">
        <f>G68*IFERROR(VLOOKUP(D68,Product_Master!$A$2:$F$13,6,FALSE),0)</f>
        <v>60000</v>
      </c>
      <c r="R68" s="4">
        <f t="shared" si="8"/>
        <v>7998.3000000000029</v>
      </c>
      <c r="S68" s="5">
        <f t="shared" si="9"/>
        <v>0.11762499944851566</v>
      </c>
    </row>
    <row r="69" spans="1:19" x14ac:dyDescent="0.3">
      <c r="A69" t="s">
        <v>120</v>
      </c>
      <c r="B69" s="2">
        <v>45954</v>
      </c>
      <c r="C69" t="s">
        <v>87</v>
      </c>
      <c r="D69" t="s">
        <v>33</v>
      </c>
      <c r="E69" t="str">
        <f>IFERROR(VLOOKUP(C69,Customer_Master!$A$2:$E$16,4,FALSE),"")</f>
        <v>East</v>
      </c>
      <c r="F69" t="str">
        <f>IFERROR(VLOOKUP(C69,Customer_Master!$A$2:$E$16,5,FALSE),"")</f>
        <v>Small Business</v>
      </c>
      <c r="G69">
        <v>6</v>
      </c>
      <c r="H69" s="3">
        <v>0</v>
      </c>
      <c r="I69" t="s">
        <v>26</v>
      </c>
      <c r="J69" t="s">
        <v>23</v>
      </c>
      <c r="K69" s="4">
        <f>IFERROR(VLOOKUP(D69,Product_Master!$A$2:$F$13,5,FALSE),0)</f>
        <v>3999</v>
      </c>
      <c r="L69" t="str">
        <f>IFERROR(VLOOKUP(D69,Product_Master!$A$2:$F$13,2,FALSE),"")</f>
        <v>Mechanical Keyboard</v>
      </c>
      <c r="M69" t="str">
        <f>IFERROR(VLOOKUP(D69,Product_Master!$A$2:$F$13,3,FALSE),"")</f>
        <v>Accessories</v>
      </c>
      <c r="N69" s="4">
        <f t="shared" si="5"/>
        <v>23994</v>
      </c>
      <c r="O69" s="4">
        <f t="shared" si="6"/>
        <v>0</v>
      </c>
      <c r="P69" s="4">
        <f t="shared" si="7"/>
        <v>23994</v>
      </c>
      <c r="Q69" s="4">
        <f>G69*IFERROR(VLOOKUP(D69,Product_Master!$A$2:$F$13,6,FALSE),0)</f>
        <v>14100</v>
      </c>
      <c r="R69" s="4">
        <f t="shared" si="8"/>
        <v>9894</v>
      </c>
      <c r="S69" s="5">
        <f t="shared" si="9"/>
        <v>0.41235308827206801</v>
      </c>
    </row>
    <row r="70" spans="1:19" x14ac:dyDescent="0.3">
      <c r="A70" t="s">
        <v>121</v>
      </c>
      <c r="B70" s="2">
        <v>45806</v>
      </c>
      <c r="C70" t="s">
        <v>40</v>
      </c>
      <c r="D70" t="s">
        <v>21</v>
      </c>
      <c r="E70" t="str">
        <f>IFERROR(VLOOKUP(C70,Customer_Master!$A$2:$E$16,4,FALSE),"")</f>
        <v>West</v>
      </c>
      <c r="F70" t="str">
        <f>IFERROR(VLOOKUP(C70,Customer_Master!$A$2:$E$16,5,FALSE),"")</f>
        <v>Corporate</v>
      </c>
      <c r="G70">
        <v>6</v>
      </c>
      <c r="H70" s="3">
        <v>0.15</v>
      </c>
      <c r="I70" t="s">
        <v>26</v>
      </c>
      <c r="J70" t="s">
        <v>30</v>
      </c>
      <c r="K70" s="4">
        <f>IFERROR(VLOOKUP(D70,Product_Master!$A$2:$F$13,5,FALSE),0)</f>
        <v>1499</v>
      </c>
      <c r="L70" t="str">
        <f>IFERROR(VLOOKUP(D70,Product_Master!$A$2:$F$13,2,FALSE),"")</f>
        <v>Wireless Mouse</v>
      </c>
      <c r="M70" t="str">
        <f>IFERROR(VLOOKUP(D70,Product_Master!$A$2:$F$13,3,FALSE),"")</f>
        <v>Accessories</v>
      </c>
      <c r="N70" s="4">
        <f t="shared" si="5"/>
        <v>8994</v>
      </c>
      <c r="O70" s="4">
        <f t="shared" si="6"/>
        <v>1349.1</v>
      </c>
      <c r="P70" s="4">
        <f t="shared" si="7"/>
        <v>7644.9</v>
      </c>
      <c r="Q70" s="4">
        <f>G70*IFERROR(VLOOKUP(D70,Product_Master!$A$2:$F$13,6,FALSE),0)</f>
        <v>4500</v>
      </c>
      <c r="R70" s="4">
        <f t="shared" si="8"/>
        <v>3144.8999999999996</v>
      </c>
      <c r="S70" s="5">
        <f t="shared" si="9"/>
        <v>0.41137228740729109</v>
      </c>
    </row>
    <row r="71" spans="1:19" x14ac:dyDescent="0.3">
      <c r="A71" t="s">
        <v>122</v>
      </c>
      <c r="B71" s="2">
        <v>45789</v>
      </c>
      <c r="C71" t="s">
        <v>40</v>
      </c>
      <c r="D71" t="s">
        <v>21</v>
      </c>
      <c r="E71" t="str">
        <f>IFERROR(VLOOKUP(C71,Customer_Master!$A$2:$E$16,4,FALSE),"")</f>
        <v>West</v>
      </c>
      <c r="F71" t="str">
        <f>IFERROR(VLOOKUP(C71,Customer_Master!$A$2:$E$16,5,FALSE),"")</f>
        <v>Corporate</v>
      </c>
      <c r="G71">
        <v>3</v>
      </c>
      <c r="H71" s="3">
        <v>0.1</v>
      </c>
      <c r="I71" t="s">
        <v>22</v>
      </c>
      <c r="J71" t="s">
        <v>23</v>
      </c>
      <c r="K71" s="4">
        <f>IFERROR(VLOOKUP(D71,Product_Master!$A$2:$F$13,5,FALSE),0)</f>
        <v>1499</v>
      </c>
      <c r="L71" t="str">
        <f>IFERROR(VLOOKUP(D71,Product_Master!$A$2:$F$13,2,FALSE),"")</f>
        <v>Wireless Mouse</v>
      </c>
      <c r="M71" t="str">
        <f>IFERROR(VLOOKUP(D71,Product_Master!$A$2:$F$13,3,FALSE),"")</f>
        <v>Accessories</v>
      </c>
      <c r="N71" s="4">
        <f t="shared" si="5"/>
        <v>4497</v>
      </c>
      <c r="O71" s="4">
        <f t="shared" si="6"/>
        <v>449.70000000000005</v>
      </c>
      <c r="P71" s="4">
        <f t="shared" si="7"/>
        <v>4047.3</v>
      </c>
      <c r="Q71" s="4">
        <f>G71*IFERROR(VLOOKUP(D71,Product_Master!$A$2:$F$13,6,FALSE),0)</f>
        <v>2250</v>
      </c>
      <c r="R71" s="4">
        <f t="shared" si="8"/>
        <v>1797.3000000000002</v>
      </c>
      <c r="S71" s="5">
        <f t="shared" si="9"/>
        <v>0.44407382699577497</v>
      </c>
    </row>
    <row r="72" spans="1:19" x14ac:dyDescent="0.3">
      <c r="A72" t="s">
        <v>123</v>
      </c>
      <c r="B72" s="2">
        <v>45936</v>
      </c>
      <c r="C72" t="s">
        <v>76</v>
      </c>
      <c r="D72" t="s">
        <v>62</v>
      </c>
      <c r="E72" t="str">
        <f>IFERROR(VLOOKUP(C72,Customer_Master!$A$2:$E$16,4,FALSE),"")</f>
        <v>West</v>
      </c>
      <c r="F72" t="str">
        <f>IFERROR(VLOOKUP(C72,Customer_Master!$A$2:$E$16,5,FALSE),"")</f>
        <v>Small Business</v>
      </c>
      <c r="G72">
        <v>5</v>
      </c>
      <c r="H72" s="3">
        <v>0.05</v>
      </c>
      <c r="I72" t="s">
        <v>22</v>
      </c>
      <c r="J72" t="s">
        <v>23</v>
      </c>
      <c r="K72" s="4">
        <f>IFERROR(VLOOKUP(D72,Product_Master!$A$2:$F$13,5,FALSE),0)</f>
        <v>39999</v>
      </c>
      <c r="L72" t="str">
        <f>IFERROR(VLOOKUP(D72,Product_Master!$A$2:$F$13,2,FALSE),"")</f>
        <v>Smartphone X</v>
      </c>
      <c r="M72" t="str">
        <f>IFERROR(VLOOKUP(D72,Product_Master!$A$2:$F$13,3,FALSE),"")</f>
        <v>Electronics</v>
      </c>
      <c r="N72" s="4">
        <f t="shared" si="5"/>
        <v>199995</v>
      </c>
      <c r="O72" s="4">
        <f t="shared" si="6"/>
        <v>9999.75</v>
      </c>
      <c r="P72" s="4">
        <f t="shared" si="7"/>
        <v>189995.25</v>
      </c>
      <c r="Q72" s="4">
        <f>G72*IFERROR(VLOOKUP(D72,Product_Master!$A$2:$F$13,6,FALSE),0)</f>
        <v>150000</v>
      </c>
      <c r="R72" s="4">
        <f t="shared" si="8"/>
        <v>39995.25</v>
      </c>
      <c r="S72" s="5">
        <f t="shared" si="9"/>
        <v>0.21050657845393503</v>
      </c>
    </row>
    <row r="73" spans="1:19" x14ac:dyDescent="0.3">
      <c r="A73" t="s">
        <v>124</v>
      </c>
      <c r="B73" s="2">
        <v>45932</v>
      </c>
      <c r="C73" t="s">
        <v>61</v>
      </c>
      <c r="D73" t="s">
        <v>56</v>
      </c>
      <c r="E73" t="str">
        <f>IFERROR(VLOOKUP(C73,Customer_Master!$A$2:$E$16,4,FALSE),"")</f>
        <v>South</v>
      </c>
      <c r="F73" t="str">
        <f>IFERROR(VLOOKUP(C73,Customer_Master!$A$2:$E$16,5,FALSE),"")</f>
        <v>Consumer</v>
      </c>
      <c r="G73">
        <v>1</v>
      </c>
      <c r="H73" s="3">
        <v>0.15</v>
      </c>
      <c r="I73" t="s">
        <v>29</v>
      </c>
      <c r="J73" t="s">
        <v>30</v>
      </c>
      <c r="K73" s="4">
        <f>IFERROR(VLOOKUP(D73,Product_Master!$A$2:$F$13,5,FALSE),0)</f>
        <v>3499</v>
      </c>
      <c r="L73" t="str">
        <f>IFERROR(VLOOKUP(D73,Product_Master!$A$2:$F$13,2,FALSE),"")</f>
        <v>Bluetooth Speaker</v>
      </c>
      <c r="M73" t="str">
        <f>IFERROR(VLOOKUP(D73,Product_Master!$A$2:$F$13,3,FALSE),"")</f>
        <v>Electronics</v>
      </c>
      <c r="N73" s="4">
        <f t="shared" si="5"/>
        <v>3499</v>
      </c>
      <c r="O73" s="4">
        <f t="shared" si="6"/>
        <v>524.85</v>
      </c>
      <c r="P73" s="4">
        <f t="shared" si="7"/>
        <v>2974.15</v>
      </c>
      <c r="Q73" s="4">
        <f>G73*IFERROR(VLOOKUP(D73,Product_Master!$A$2:$F$13,6,FALSE),0)</f>
        <v>2050</v>
      </c>
      <c r="R73" s="4">
        <f t="shared" si="8"/>
        <v>924.15000000000009</v>
      </c>
      <c r="S73" s="5">
        <f t="shared" si="9"/>
        <v>0.31072743472925041</v>
      </c>
    </row>
    <row r="74" spans="1:19" x14ac:dyDescent="0.3">
      <c r="A74" t="s">
        <v>125</v>
      </c>
      <c r="B74" s="2">
        <v>45933</v>
      </c>
      <c r="C74" t="s">
        <v>32</v>
      </c>
      <c r="D74" t="s">
        <v>38</v>
      </c>
      <c r="E74" t="str">
        <f>IFERROR(VLOOKUP(C74,Customer_Master!$A$2:$E$16,4,FALSE),"")</f>
        <v>East</v>
      </c>
      <c r="F74" t="str">
        <f>IFERROR(VLOOKUP(C74,Customer_Master!$A$2:$E$16,5,FALSE),"")</f>
        <v>Corporate</v>
      </c>
      <c r="G74">
        <v>1</v>
      </c>
      <c r="H74" s="3">
        <v>0.15</v>
      </c>
      <c r="I74" t="s">
        <v>49</v>
      </c>
      <c r="J74" t="s">
        <v>30</v>
      </c>
      <c r="K74" s="4">
        <f>IFERROR(VLOOKUP(D74,Product_Master!$A$2:$F$13,5,FALSE),0)</f>
        <v>74999</v>
      </c>
      <c r="L74" t="str">
        <f>IFERROR(VLOOKUP(D74,Product_Master!$A$2:$F$13,2,FALSE),"")</f>
        <v>Laptop Pro 14</v>
      </c>
      <c r="M74" t="str">
        <f>IFERROR(VLOOKUP(D74,Product_Master!$A$2:$F$13,3,FALSE),"")</f>
        <v>Electronics</v>
      </c>
      <c r="N74" s="4">
        <f t="shared" si="5"/>
        <v>74999</v>
      </c>
      <c r="O74" s="4">
        <f t="shared" si="6"/>
        <v>11249.85</v>
      </c>
      <c r="P74" s="4">
        <f t="shared" si="7"/>
        <v>63749.15</v>
      </c>
      <c r="Q74" s="4">
        <f>G74*IFERROR(VLOOKUP(D74,Product_Master!$A$2:$F$13,6,FALSE),0)</f>
        <v>58500</v>
      </c>
      <c r="R74" s="4">
        <f t="shared" si="8"/>
        <v>5249.1500000000015</v>
      </c>
      <c r="S74" s="5">
        <f t="shared" si="9"/>
        <v>8.2340705719213536E-2</v>
      </c>
    </row>
    <row r="75" spans="1:19" x14ac:dyDescent="0.3">
      <c r="A75" t="s">
        <v>126</v>
      </c>
      <c r="B75" s="2">
        <v>45720</v>
      </c>
      <c r="C75" t="s">
        <v>47</v>
      </c>
      <c r="D75" t="s">
        <v>70</v>
      </c>
      <c r="E75" t="str">
        <f>IFERROR(VLOOKUP(C75,Customer_Master!$A$2:$E$16,4,FALSE),"")</f>
        <v>West</v>
      </c>
      <c r="F75" t="str">
        <f>IFERROR(VLOOKUP(C75,Customer_Master!$A$2:$E$16,5,FALSE),"")</f>
        <v>Corporate</v>
      </c>
      <c r="G75">
        <v>4</v>
      </c>
      <c r="H75" s="3">
        <v>0</v>
      </c>
      <c r="I75" t="s">
        <v>26</v>
      </c>
      <c r="J75" t="s">
        <v>23</v>
      </c>
      <c r="K75" s="4">
        <f>IFERROR(VLOOKUP(D75,Product_Master!$A$2:$F$13,5,FALSE),0)</f>
        <v>2499</v>
      </c>
      <c r="L75" t="str">
        <f>IFERROR(VLOOKUP(D75,Product_Master!$A$2:$F$13,2,FALSE),"")</f>
        <v>USB-C Hub</v>
      </c>
      <c r="M75" t="str">
        <f>IFERROR(VLOOKUP(D75,Product_Master!$A$2:$F$13,3,FALSE),"")</f>
        <v>Accessories</v>
      </c>
      <c r="N75" s="4">
        <f t="shared" si="5"/>
        <v>9996</v>
      </c>
      <c r="O75" s="4">
        <f t="shared" si="6"/>
        <v>0</v>
      </c>
      <c r="P75" s="4">
        <f t="shared" si="7"/>
        <v>9996</v>
      </c>
      <c r="Q75" s="4">
        <f>G75*IFERROR(VLOOKUP(D75,Product_Master!$A$2:$F$13,6,FALSE),0)</f>
        <v>5800</v>
      </c>
      <c r="R75" s="4">
        <f t="shared" si="8"/>
        <v>4196</v>
      </c>
      <c r="S75" s="5">
        <f t="shared" si="9"/>
        <v>0.41976790716286516</v>
      </c>
    </row>
    <row r="76" spans="1:19" x14ac:dyDescent="0.3">
      <c r="A76" t="s">
        <v>127</v>
      </c>
      <c r="B76" s="2">
        <v>45892</v>
      </c>
      <c r="C76" t="s">
        <v>87</v>
      </c>
      <c r="D76" t="s">
        <v>21</v>
      </c>
      <c r="E76" t="str">
        <f>IFERROR(VLOOKUP(C76,Customer_Master!$A$2:$E$16,4,FALSE),"")</f>
        <v>East</v>
      </c>
      <c r="F76" t="str">
        <f>IFERROR(VLOOKUP(C76,Customer_Master!$A$2:$E$16,5,FALSE),"")</f>
        <v>Small Business</v>
      </c>
      <c r="G76">
        <v>4</v>
      </c>
      <c r="H76" s="3">
        <v>0.1</v>
      </c>
      <c r="I76" t="s">
        <v>54</v>
      </c>
      <c r="J76" t="s">
        <v>23</v>
      </c>
      <c r="K76" s="4">
        <f>IFERROR(VLOOKUP(D76,Product_Master!$A$2:$F$13,5,FALSE),0)</f>
        <v>1499</v>
      </c>
      <c r="L76" t="str">
        <f>IFERROR(VLOOKUP(D76,Product_Master!$A$2:$F$13,2,FALSE),"")</f>
        <v>Wireless Mouse</v>
      </c>
      <c r="M76" t="str">
        <f>IFERROR(VLOOKUP(D76,Product_Master!$A$2:$F$13,3,FALSE),"")</f>
        <v>Accessories</v>
      </c>
      <c r="N76" s="4">
        <f t="shared" si="5"/>
        <v>5996</v>
      </c>
      <c r="O76" s="4">
        <f t="shared" si="6"/>
        <v>599.6</v>
      </c>
      <c r="P76" s="4">
        <f t="shared" si="7"/>
        <v>5396.4</v>
      </c>
      <c r="Q76" s="4">
        <f>G76*IFERROR(VLOOKUP(D76,Product_Master!$A$2:$F$13,6,FALSE),0)</f>
        <v>3000</v>
      </c>
      <c r="R76" s="4">
        <f t="shared" si="8"/>
        <v>2396.3999999999996</v>
      </c>
      <c r="S76" s="5">
        <f t="shared" si="9"/>
        <v>0.44407382699577491</v>
      </c>
    </row>
    <row r="77" spans="1:19" x14ac:dyDescent="0.3">
      <c r="A77" t="s">
        <v>128</v>
      </c>
      <c r="B77" s="2">
        <v>45723</v>
      </c>
      <c r="C77" t="s">
        <v>20</v>
      </c>
      <c r="D77" t="s">
        <v>33</v>
      </c>
      <c r="E77" t="str">
        <f>IFERROR(VLOOKUP(C77,Customer_Master!$A$2:$E$16,4,FALSE),"")</f>
        <v>South</v>
      </c>
      <c r="F77" t="str">
        <f>IFERROR(VLOOKUP(C77,Customer_Master!$A$2:$E$16,5,FALSE),"")</f>
        <v>Small Business</v>
      </c>
      <c r="G77">
        <v>3</v>
      </c>
      <c r="H77" s="3">
        <v>0.1</v>
      </c>
      <c r="I77" t="s">
        <v>49</v>
      </c>
      <c r="J77" t="s">
        <v>30</v>
      </c>
      <c r="K77" s="4">
        <f>IFERROR(VLOOKUP(D77,Product_Master!$A$2:$F$13,5,FALSE),0)</f>
        <v>3999</v>
      </c>
      <c r="L77" t="str">
        <f>IFERROR(VLOOKUP(D77,Product_Master!$A$2:$F$13,2,FALSE),"")</f>
        <v>Mechanical Keyboard</v>
      </c>
      <c r="M77" t="str">
        <f>IFERROR(VLOOKUP(D77,Product_Master!$A$2:$F$13,3,FALSE),"")</f>
        <v>Accessories</v>
      </c>
      <c r="N77" s="4">
        <f t="shared" si="5"/>
        <v>11997</v>
      </c>
      <c r="O77" s="4">
        <f t="shared" si="6"/>
        <v>1199.7</v>
      </c>
      <c r="P77" s="4">
        <f t="shared" si="7"/>
        <v>10797.3</v>
      </c>
      <c r="Q77" s="4">
        <f>G77*IFERROR(VLOOKUP(D77,Product_Master!$A$2:$F$13,6,FALSE),0)</f>
        <v>7050</v>
      </c>
      <c r="R77" s="4">
        <f t="shared" si="8"/>
        <v>3747.2999999999993</v>
      </c>
      <c r="S77" s="5">
        <f t="shared" si="9"/>
        <v>0.34705898696896442</v>
      </c>
    </row>
    <row r="78" spans="1:19" x14ac:dyDescent="0.3">
      <c r="A78" t="s">
        <v>129</v>
      </c>
      <c r="B78" s="2">
        <v>45756</v>
      </c>
      <c r="C78" t="s">
        <v>45</v>
      </c>
      <c r="D78" t="s">
        <v>48</v>
      </c>
      <c r="E78" t="str">
        <f>IFERROR(VLOOKUP(C78,Customer_Master!$A$2:$E$16,4,FALSE),"")</f>
        <v>North</v>
      </c>
      <c r="F78" t="str">
        <f>IFERROR(VLOOKUP(C78,Customer_Master!$A$2:$E$16,5,FALSE),"")</f>
        <v>Consumer</v>
      </c>
      <c r="G78">
        <v>4</v>
      </c>
      <c r="H78" s="3">
        <v>0.15</v>
      </c>
      <c r="I78" t="s">
        <v>29</v>
      </c>
      <c r="J78" t="s">
        <v>23</v>
      </c>
      <c r="K78" s="4">
        <f>IFERROR(VLOOKUP(D78,Product_Master!$A$2:$F$13,5,FALSE),0)</f>
        <v>62999</v>
      </c>
      <c r="L78" t="str">
        <f>IFERROR(VLOOKUP(D78,Product_Master!$A$2:$F$13,2,FALSE),"")</f>
        <v>Laptop Air 13</v>
      </c>
      <c r="M78" t="str">
        <f>IFERROR(VLOOKUP(D78,Product_Master!$A$2:$F$13,3,FALSE),"")</f>
        <v>Electronics</v>
      </c>
      <c r="N78" s="4">
        <f t="shared" si="5"/>
        <v>251996</v>
      </c>
      <c r="O78" s="4">
        <f t="shared" si="6"/>
        <v>37799.4</v>
      </c>
      <c r="P78" s="4">
        <f t="shared" si="7"/>
        <v>214196.6</v>
      </c>
      <c r="Q78" s="4">
        <f>G78*IFERROR(VLOOKUP(D78,Product_Master!$A$2:$F$13,6,FALSE),0)</f>
        <v>196000</v>
      </c>
      <c r="R78" s="4">
        <f t="shared" si="8"/>
        <v>18196.600000000006</v>
      </c>
      <c r="S78" s="5">
        <f t="shared" si="9"/>
        <v>8.4952795702639569E-2</v>
      </c>
    </row>
    <row r="79" spans="1:19" x14ac:dyDescent="0.3">
      <c r="A79" t="s">
        <v>130</v>
      </c>
      <c r="B79" s="2">
        <v>45669</v>
      </c>
      <c r="C79" t="s">
        <v>25</v>
      </c>
      <c r="D79" t="s">
        <v>52</v>
      </c>
      <c r="E79" t="str">
        <f>IFERROR(VLOOKUP(C79,Customer_Master!$A$2:$E$16,4,FALSE),"")</f>
        <v>South</v>
      </c>
      <c r="F79" t="str">
        <f>IFERROR(VLOOKUP(C79,Customer_Master!$A$2:$E$16,5,FALSE),"")</f>
        <v>Corporate</v>
      </c>
      <c r="G79">
        <v>1</v>
      </c>
      <c r="H79" s="3">
        <v>0.05</v>
      </c>
      <c r="I79" t="s">
        <v>26</v>
      </c>
      <c r="J79" t="s">
        <v>23</v>
      </c>
      <c r="K79" s="4">
        <f>IFERROR(VLOOKUP(D79,Product_Master!$A$2:$F$13,5,FALSE),0)</f>
        <v>6999</v>
      </c>
      <c r="L79" t="str">
        <f>IFERROR(VLOOKUP(D79,Product_Master!$A$2:$F$13,2,FALSE),"")</f>
        <v>Study Desk</v>
      </c>
      <c r="M79" t="str">
        <f>IFERROR(VLOOKUP(D79,Product_Master!$A$2:$F$13,3,FALSE),"")</f>
        <v>Furniture</v>
      </c>
      <c r="N79" s="4">
        <f t="shared" si="5"/>
        <v>6999</v>
      </c>
      <c r="O79" s="4">
        <f t="shared" si="6"/>
        <v>349.95000000000005</v>
      </c>
      <c r="P79" s="4">
        <f t="shared" si="7"/>
        <v>6649.05</v>
      </c>
      <c r="Q79" s="4">
        <f>G79*IFERROR(VLOOKUP(D79,Product_Master!$A$2:$F$13,6,FALSE),0)</f>
        <v>4500</v>
      </c>
      <c r="R79" s="4">
        <f t="shared" si="8"/>
        <v>2149.0500000000002</v>
      </c>
      <c r="S79" s="5">
        <f t="shared" si="9"/>
        <v>0.3232115866176371</v>
      </c>
    </row>
    <row r="80" spans="1:19" x14ac:dyDescent="0.3">
      <c r="A80" t="s">
        <v>131</v>
      </c>
      <c r="B80" s="2">
        <v>45803</v>
      </c>
      <c r="C80" t="s">
        <v>35</v>
      </c>
      <c r="D80" t="s">
        <v>43</v>
      </c>
      <c r="E80" t="str">
        <f>IFERROR(VLOOKUP(C80,Customer_Master!$A$2:$E$16,4,FALSE),"")</f>
        <v>North</v>
      </c>
      <c r="F80" t="str">
        <f>IFERROR(VLOOKUP(C80,Customer_Master!$A$2:$E$16,5,FALSE),"")</f>
        <v>Corporate</v>
      </c>
      <c r="G80">
        <v>3</v>
      </c>
      <c r="H80" s="3">
        <v>0.05</v>
      </c>
      <c r="I80" t="s">
        <v>26</v>
      </c>
      <c r="J80" t="s">
        <v>30</v>
      </c>
      <c r="K80" s="4">
        <f>IFERROR(VLOOKUP(D80,Product_Master!$A$2:$F$13,5,FALSE),0)</f>
        <v>8999</v>
      </c>
      <c r="L80" t="str">
        <f>IFERROR(VLOOKUP(D80,Product_Master!$A$2:$F$13,2,FALSE),"")</f>
        <v>Office Chair</v>
      </c>
      <c r="M80" t="str">
        <f>IFERROR(VLOOKUP(D80,Product_Master!$A$2:$F$13,3,FALSE),"")</f>
        <v>Furniture</v>
      </c>
      <c r="N80" s="4">
        <f t="shared" si="5"/>
        <v>26997</v>
      </c>
      <c r="O80" s="4">
        <f t="shared" si="6"/>
        <v>1349.8500000000001</v>
      </c>
      <c r="P80" s="4">
        <f t="shared" si="7"/>
        <v>25647.15</v>
      </c>
      <c r="Q80" s="4">
        <f>G80*IFERROR(VLOOKUP(D80,Product_Master!$A$2:$F$13,6,FALSE),0)</f>
        <v>18300</v>
      </c>
      <c r="R80" s="4">
        <f t="shared" si="8"/>
        <v>7347.1500000000015</v>
      </c>
      <c r="S80" s="5">
        <f t="shared" si="9"/>
        <v>0.28647042653862131</v>
      </c>
    </row>
    <row r="81" spans="1:19" x14ac:dyDescent="0.3">
      <c r="A81" t="s">
        <v>132</v>
      </c>
      <c r="B81" s="2">
        <v>45913</v>
      </c>
      <c r="C81" t="s">
        <v>20</v>
      </c>
      <c r="D81" t="s">
        <v>48</v>
      </c>
      <c r="E81" t="str">
        <f>IFERROR(VLOOKUP(C81,Customer_Master!$A$2:$E$16,4,FALSE),"")</f>
        <v>South</v>
      </c>
      <c r="F81" t="str">
        <f>IFERROR(VLOOKUP(C81,Customer_Master!$A$2:$E$16,5,FALSE),"")</f>
        <v>Small Business</v>
      </c>
      <c r="G81">
        <v>6</v>
      </c>
      <c r="H81" s="3">
        <v>0.15</v>
      </c>
      <c r="I81" t="s">
        <v>29</v>
      </c>
      <c r="J81" t="s">
        <v>30</v>
      </c>
      <c r="K81" s="4">
        <f>IFERROR(VLOOKUP(D81,Product_Master!$A$2:$F$13,5,FALSE),0)</f>
        <v>62999</v>
      </c>
      <c r="L81" t="str">
        <f>IFERROR(VLOOKUP(D81,Product_Master!$A$2:$F$13,2,FALSE),"")</f>
        <v>Laptop Air 13</v>
      </c>
      <c r="M81" t="str">
        <f>IFERROR(VLOOKUP(D81,Product_Master!$A$2:$F$13,3,FALSE),"")</f>
        <v>Electronics</v>
      </c>
      <c r="N81" s="4">
        <f t="shared" si="5"/>
        <v>377994</v>
      </c>
      <c r="O81" s="4">
        <f t="shared" si="6"/>
        <v>56699.1</v>
      </c>
      <c r="P81" s="4">
        <f t="shared" si="7"/>
        <v>321294.90000000002</v>
      </c>
      <c r="Q81" s="4">
        <f>G81*IFERROR(VLOOKUP(D81,Product_Master!$A$2:$F$13,6,FALSE),0)</f>
        <v>294000</v>
      </c>
      <c r="R81" s="4">
        <f t="shared" si="8"/>
        <v>27294.900000000023</v>
      </c>
      <c r="S81" s="5">
        <f t="shared" si="9"/>
        <v>8.4952795702639611E-2</v>
      </c>
    </row>
    <row r="82" spans="1:19" x14ac:dyDescent="0.3">
      <c r="A82" t="s">
        <v>133</v>
      </c>
      <c r="B82" s="2">
        <v>45759</v>
      </c>
      <c r="C82" t="s">
        <v>37</v>
      </c>
      <c r="D82" t="s">
        <v>28</v>
      </c>
      <c r="E82" t="str">
        <f>IFERROR(VLOOKUP(C82,Customer_Master!$A$2:$E$16,4,FALSE),"")</f>
        <v>North</v>
      </c>
      <c r="F82" t="str">
        <f>IFERROR(VLOOKUP(C82,Customer_Master!$A$2:$E$16,5,FALSE),"")</f>
        <v>Consumer</v>
      </c>
      <c r="G82">
        <v>6</v>
      </c>
      <c r="H82" s="3">
        <v>0.15</v>
      </c>
      <c r="I82" t="s">
        <v>49</v>
      </c>
      <c r="J82" t="s">
        <v>23</v>
      </c>
      <c r="K82" s="4">
        <f>IFERROR(VLOOKUP(D82,Product_Master!$A$2:$F$13,5,FALSE),0)</f>
        <v>28999</v>
      </c>
      <c r="L82" t="str">
        <f>IFERROR(VLOOKUP(D82,Product_Master!$A$2:$F$13,2,FALSE),"")</f>
        <v>Tablet Plus</v>
      </c>
      <c r="M82" t="str">
        <f>IFERROR(VLOOKUP(D82,Product_Master!$A$2:$F$13,3,FALSE),"")</f>
        <v>Electronics</v>
      </c>
      <c r="N82" s="4">
        <f t="shared" si="5"/>
        <v>173994</v>
      </c>
      <c r="O82" s="4">
        <f t="shared" si="6"/>
        <v>26099.1</v>
      </c>
      <c r="P82" s="4">
        <f t="shared" si="7"/>
        <v>147894.9</v>
      </c>
      <c r="Q82" s="4">
        <f>G82*IFERROR(VLOOKUP(D82,Product_Master!$A$2:$F$13,6,FALSE),0)</f>
        <v>129000</v>
      </c>
      <c r="R82" s="4">
        <f t="shared" si="8"/>
        <v>18894.899999999994</v>
      </c>
      <c r="S82" s="5">
        <f t="shared" si="9"/>
        <v>0.12775896937622591</v>
      </c>
    </row>
    <row r="83" spans="1:19" x14ac:dyDescent="0.3">
      <c r="A83" t="s">
        <v>134</v>
      </c>
      <c r="B83" s="2">
        <v>45869</v>
      </c>
      <c r="C83" t="s">
        <v>32</v>
      </c>
      <c r="D83" t="s">
        <v>43</v>
      </c>
      <c r="E83" t="str">
        <f>IFERROR(VLOOKUP(C83,Customer_Master!$A$2:$E$16,4,FALSE),"")</f>
        <v>East</v>
      </c>
      <c r="F83" t="str">
        <f>IFERROR(VLOOKUP(C83,Customer_Master!$A$2:$E$16,5,FALSE),"")</f>
        <v>Corporate</v>
      </c>
      <c r="G83">
        <v>5</v>
      </c>
      <c r="H83" s="3">
        <v>0.15</v>
      </c>
      <c r="I83" t="s">
        <v>26</v>
      </c>
      <c r="J83" t="s">
        <v>30</v>
      </c>
      <c r="K83" s="4">
        <f>IFERROR(VLOOKUP(D83,Product_Master!$A$2:$F$13,5,FALSE),0)</f>
        <v>8999</v>
      </c>
      <c r="L83" t="str">
        <f>IFERROR(VLOOKUP(D83,Product_Master!$A$2:$F$13,2,FALSE),"")</f>
        <v>Office Chair</v>
      </c>
      <c r="M83" t="str">
        <f>IFERROR(VLOOKUP(D83,Product_Master!$A$2:$F$13,3,FALSE),"")</f>
        <v>Furniture</v>
      </c>
      <c r="N83" s="4">
        <f t="shared" si="5"/>
        <v>44995</v>
      </c>
      <c r="O83" s="4">
        <f t="shared" si="6"/>
        <v>6749.25</v>
      </c>
      <c r="P83" s="4">
        <f t="shared" si="7"/>
        <v>38245.75</v>
      </c>
      <c r="Q83" s="4">
        <f>G83*IFERROR(VLOOKUP(D83,Product_Master!$A$2:$F$13,6,FALSE),0)</f>
        <v>30500</v>
      </c>
      <c r="R83" s="4">
        <f t="shared" si="8"/>
        <v>7745.75</v>
      </c>
      <c r="S83" s="5">
        <f t="shared" si="9"/>
        <v>0.20252577083728257</v>
      </c>
    </row>
    <row r="84" spans="1:19" x14ac:dyDescent="0.3">
      <c r="A84" t="s">
        <v>135</v>
      </c>
      <c r="B84" s="2">
        <v>45931</v>
      </c>
      <c r="C84" t="s">
        <v>61</v>
      </c>
      <c r="D84" t="s">
        <v>43</v>
      </c>
      <c r="E84" t="str">
        <f>IFERROR(VLOOKUP(C84,Customer_Master!$A$2:$E$16,4,FALSE),"")</f>
        <v>South</v>
      </c>
      <c r="F84" t="str">
        <f>IFERROR(VLOOKUP(C84,Customer_Master!$A$2:$E$16,5,FALSE),"")</f>
        <v>Consumer</v>
      </c>
      <c r="G84">
        <v>6</v>
      </c>
      <c r="H84" s="3">
        <v>0.05</v>
      </c>
      <c r="I84" t="s">
        <v>22</v>
      </c>
      <c r="J84" t="s">
        <v>23</v>
      </c>
      <c r="K84" s="4">
        <f>IFERROR(VLOOKUP(D84,Product_Master!$A$2:$F$13,5,FALSE),0)</f>
        <v>8999</v>
      </c>
      <c r="L84" t="str">
        <f>IFERROR(VLOOKUP(D84,Product_Master!$A$2:$F$13,2,FALSE),"")</f>
        <v>Office Chair</v>
      </c>
      <c r="M84" t="str">
        <f>IFERROR(VLOOKUP(D84,Product_Master!$A$2:$F$13,3,FALSE),"")</f>
        <v>Furniture</v>
      </c>
      <c r="N84" s="4">
        <f t="shared" si="5"/>
        <v>53994</v>
      </c>
      <c r="O84" s="4">
        <f t="shared" si="6"/>
        <v>2699.7000000000003</v>
      </c>
      <c r="P84" s="4">
        <f t="shared" si="7"/>
        <v>51294.3</v>
      </c>
      <c r="Q84" s="4">
        <f>G84*IFERROR(VLOOKUP(D84,Product_Master!$A$2:$F$13,6,FALSE),0)</f>
        <v>36600</v>
      </c>
      <c r="R84" s="4">
        <f t="shared" si="8"/>
        <v>14694.300000000003</v>
      </c>
      <c r="S84" s="5">
        <f t="shared" si="9"/>
        <v>0.28647042653862131</v>
      </c>
    </row>
    <row r="85" spans="1:19" x14ac:dyDescent="0.3">
      <c r="A85" t="s">
        <v>136</v>
      </c>
      <c r="B85" s="2">
        <v>45971</v>
      </c>
      <c r="C85" t="s">
        <v>65</v>
      </c>
      <c r="D85" t="s">
        <v>21</v>
      </c>
      <c r="E85" t="str">
        <f>IFERROR(VLOOKUP(C85,Customer_Master!$A$2:$E$16,4,FALSE),"")</f>
        <v>Central</v>
      </c>
      <c r="F85" t="str">
        <f>IFERROR(VLOOKUP(C85,Customer_Master!$A$2:$E$16,5,FALSE),"")</f>
        <v>Consumer</v>
      </c>
      <c r="G85">
        <v>5</v>
      </c>
      <c r="H85" s="3">
        <v>0.05</v>
      </c>
      <c r="I85" t="s">
        <v>26</v>
      </c>
      <c r="J85" t="s">
        <v>23</v>
      </c>
      <c r="K85" s="4">
        <f>IFERROR(VLOOKUP(D85,Product_Master!$A$2:$F$13,5,FALSE),0)</f>
        <v>1499</v>
      </c>
      <c r="L85" t="str">
        <f>IFERROR(VLOOKUP(D85,Product_Master!$A$2:$F$13,2,FALSE),"")</f>
        <v>Wireless Mouse</v>
      </c>
      <c r="M85" t="str">
        <f>IFERROR(VLOOKUP(D85,Product_Master!$A$2:$F$13,3,FALSE),"")</f>
        <v>Accessories</v>
      </c>
      <c r="N85" s="4">
        <f t="shared" si="5"/>
        <v>7495</v>
      </c>
      <c r="O85" s="4">
        <f t="shared" si="6"/>
        <v>374.75</v>
      </c>
      <c r="P85" s="4">
        <f t="shared" si="7"/>
        <v>7120.25</v>
      </c>
      <c r="Q85" s="4">
        <f>G85*IFERROR(VLOOKUP(D85,Product_Master!$A$2:$F$13,6,FALSE),0)</f>
        <v>3750</v>
      </c>
      <c r="R85" s="4">
        <f t="shared" si="8"/>
        <v>3370.25</v>
      </c>
      <c r="S85" s="5">
        <f t="shared" si="9"/>
        <v>0.47333309925915523</v>
      </c>
    </row>
    <row r="86" spans="1:19" x14ac:dyDescent="0.3">
      <c r="A86" t="s">
        <v>137</v>
      </c>
      <c r="B86" s="2">
        <v>45819</v>
      </c>
      <c r="C86" t="s">
        <v>87</v>
      </c>
      <c r="D86" t="s">
        <v>62</v>
      </c>
      <c r="E86" t="str">
        <f>IFERROR(VLOOKUP(C86,Customer_Master!$A$2:$E$16,4,FALSE),"")</f>
        <v>East</v>
      </c>
      <c r="F86" t="str">
        <f>IFERROR(VLOOKUP(C86,Customer_Master!$A$2:$E$16,5,FALSE),"")</f>
        <v>Small Business</v>
      </c>
      <c r="G86">
        <v>5</v>
      </c>
      <c r="H86" s="3">
        <v>0.05</v>
      </c>
      <c r="I86" t="s">
        <v>26</v>
      </c>
      <c r="J86" t="s">
        <v>23</v>
      </c>
      <c r="K86" s="4">
        <f>IFERROR(VLOOKUP(D86,Product_Master!$A$2:$F$13,5,FALSE),0)</f>
        <v>39999</v>
      </c>
      <c r="L86" t="str">
        <f>IFERROR(VLOOKUP(D86,Product_Master!$A$2:$F$13,2,FALSE),"")</f>
        <v>Smartphone X</v>
      </c>
      <c r="M86" t="str">
        <f>IFERROR(VLOOKUP(D86,Product_Master!$A$2:$F$13,3,FALSE),"")</f>
        <v>Electronics</v>
      </c>
      <c r="N86" s="4">
        <f t="shared" si="5"/>
        <v>199995</v>
      </c>
      <c r="O86" s="4">
        <f t="shared" si="6"/>
        <v>9999.75</v>
      </c>
      <c r="P86" s="4">
        <f t="shared" si="7"/>
        <v>189995.25</v>
      </c>
      <c r="Q86" s="4">
        <f>G86*IFERROR(VLOOKUP(D86,Product_Master!$A$2:$F$13,6,FALSE),0)</f>
        <v>150000</v>
      </c>
      <c r="R86" s="4">
        <f t="shared" si="8"/>
        <v>39995.25</v>
      </c>
      <c r="S86" s="5">
        <f t="shared" si="9"/>
        <v>0.21050657845393503</v>
      </c>
    </row>
    <row r="87" spans="1:19" x14ac:dyDescent="0.3">
      <c r="A87" t="s">
        <v>138</v>
      </c>
      <c r="B87" s="2">
        <v>45707</v>
      </c>
      <c r="C87" t="s">
        <v>47</v>
      </c>
      <c r="D87" t="s">
        <v>41</v>
      </c>
      <c r="E87" t="str">
        <f>IFERROR(VLOOKUP(C87,Customer_Master!$A$2:$E$16,4,FALSE),"")</f>
        <v>West</v>
      </c>
      <c r="F87" t="str">
        <f>IFERROR(VLOOKUP(C87,Customer_Master!$A$2:$E$16,5,FALSE),"")</f>
        <v>Corporate</v>
      </c>
      <c r="G87">
        <v>2</v>
      </c>
      <c r="H87" s="3">
        <v>0.05</v>
      </c>
      <c r="I87" t="s">
        <v>26</v>
      </c>
      <c r="J87" t="s">
        <v>23</v>
      </c>
      <c r="K87" s="4">
        <f>IFERROR(VLOOKUP(D87,Product_Master!$A$2:$F$13,5,FALSE),0)</f>
        <v>24999</v>
      </c>
      <c r="L87" t="str">
        <f>IFERROR(VLOOKUP(D87,Product_Master!$A$2:$F$13,2,FALSE),"")</f>
        <v>Smartphone Lite</v>
      </c>
      <c r="M87" t="str">
        <f>IFERROR(VLOOKUP(D87,Product_Master!$A$2:$F$13,3,FALSE),"")</f>
        <v>Electronics</v>
      </c>
      <c r="N87" s="4">
        <f t="shared" si="5"/>
        <v>49998</v>
      </c>
      <c r="O87" s="4">
        <f t="shared" si="6"/>
        <v>2499.9</v>
      </c>
      <c r="P87" s="4">
        <f t="shared" si="7"/>
        <v>47498.1</v>
      </c>
      <c r="Q87" s="4">
        <f>G87*IFERROR(VLOOKUP(D87,Product_Master!$A$2:$F$13,6,FALSE),0)</f>
        <v>37000</v>
      </c>
      <c r="R87" s="4">
        <f t="shared" si="8"/>
        <v>10498.099999999999</v>
      </c>
      <c r="S87" s="5">
        <f t="shared" si="9"/>
        <v>0.22102147243784487</v>
      </c>
    </row>
    <row r="88" spans="1:19" x14ac:dyDescent="0.3">
      <c r="A88" t="s">
        <v>139</v>
      </c>
      <c r="B88" s="2">
        <v>45707</v>
      </c>
      <c r="C88" t="s">
        <v>76</v>
      </c>
      <c r="D88" t="s">
        <v>56</v>
      </c>
      <c r="E88" t="str">
        <f>IFERROR(VLOOKUP(C88,Customer_Master!$A$2:$E$16,4,FALSE),"")</f>
        <v>West</v>
      </c>
      <c r="F88" t="str">
        <f>IFERROR(VLOOKUP(C88,Customer_Master!$A$2:$E$16,5,FALSE),"")</f>
        <v>Small Business</v>
      </c>
      <c r="G88">
        <v>4</v>
      </c>
      <c r="H88" s="3">
        <v>0.1</v>
      </c>
      <c r="I88" t="s">
        <v>22</v>
      </c>
      <c r="J88" t="s">
        <v>23</v>
      </c>
      <c r="K88" s="4">
        <f>IFERROR(VLOOKUP(D88,Product_Master!$A$2:$F$13,5,FALSE),0)</f>
        <v>3499</v>
      </c>
      <c r="L88" t="str">
        <f>IFERROR(VLOOKUP(D88,Product_Master!$A$2:$F$13,2,FALSE),"")</f>
        <v>Bluetooth Speaker</v>
      </c>
      <c r="M88" t="str">
        <f>IFERROR(VLOOKUP(D88,Product_Master!$A$2:$F$13,3,FALSE),"")</f>
        <v>Electronics</v>
      </c>
      <c r="N88" s="4">
        <f t="shared" si="5"/>
        <v>13996</v>
      </c>
      <c r="O88" s="4">
        <f t="shared" si="6"/>
        <v>1399.6000000000001</v>
      </c>
      <c r="P88" s="4">
        <f t="shared" si="7"/>
        <v>12596.4</v>
      </c>
      <c r="Q88" s="4">
        <f>G88*IFERROR(VLOOKUP(D88,Product_Master!$A$2:$F$13,6,FALSE),0)</f>
        <v>8200</v>
      </c>
      <c r="R88" s="4">
        <f t="shared" si="8"/>
        <v>4396.3999999999996</v>
      </c>
      <c r="S88" s="5">
        <f t="shared" si="9"/>
        <v>0.34902035502206979</v>
      </c>
    </row>
    <row r="89" spans="1:19" x14ac:dyDescent="0.3">
      <c r="A89" t="s">
        <v>140</v>
      </c>
      <c r="B89" s="2">
        <v>45979</v>
      </c>
      <c r="C89" t="s">
        <v>61</v>
      </c>
      <c r="D89" t="s">
        <v>56</v>
      </c>
      <c r="E89" t="str">
        <f>IFERROR(VLOOKUP(C89,Customer_Master!$A$2:$E$16,4,FALSE),"")</f>
        <v>South</v>
      </c>
      <c r="F89" t="str">
        <f>IFERROR(VLOOKUP(C89,Customer_Master!$A$2:$E$16,5,FALSE),"")</f>
        <v>Consumer</v>
      </c>
      <c r="G89">
        <v>6</v>
      </c>
      <c r="H89" s="3">
        <v>0</v>
      </c>
      <c r="I89" t="s">
        <v>29</v>
      </c>
      <c r="J89" t="s">
        <v>23</v>
      </c>
      <c r="K89" s="4">
        <f>IFERROR(VLOOKUP(D89,Product_Master!$A$2:$F$13,5,FALSE),0)</f>
        <v>3499</v>
      </c>
      <c r="L89" t="str">
        <f>IFERROR(VLOOKUP(D89,Product_Master!$A$2:$F$13,2,FALSE),"")</f>
        <v>Bluetooth Speaker</v>
      </c>
      <c r="M89" t="str">
        <f>IFERROR(VLOOKUP(D89,Product_Master!$A$2:$F$13,3,FALSE),"")</f>
        <v>Electronics</v>
      </c>
      <c r="N89" s="4">
        <f t="shared" si="5"/>
        <v>20994</v>
      </c>
      <c r="O89" s="4">
        <f t="shared" si="6"/>
        <v>0</v>
      </c>
      <c r="P89" s="4">
        <f t="shared" si="7"/>
        <v>20994</v>
      </c>
      <c r="Q89" s="4">
        <f>G89*IFERROR(VLOOKUP(D89,Product_Master!$A$2:$F$13,6,FALSE),0)</f>
        <v>12300</v>
      </c>
      <c r="R89" s="4">
        <f t="shared" si="8"/>
        <v>8694</v>
      </c>
      <c r="S89" s="5">
        <f t="shared" si="9"/>
        <v>0.41411831951986283</v>
      </c>
    </row>
    <row r="90" spans="1:19" x14ac:dyDescent="0.3">
      <c r="A90" t="s">
        <v>141</v>
      </c>
      <c r="B90" s="2">
        <v>45841</v>
      </c>
      <c r="C90" t="s">
        <v>37</v>
      </c>
      <c r="D90" t="s">
        <v>43</v>
      </c>
      <c r="E90" t="str">
        <f>IFERROR(VLOOKUP(C90,Customer_Master!$A$2:$E$16,4,FALSE),"")</f>
        <v>North</v>
      </c>
      <c r="F90" t="str">
        <f>IFERROR(VLOOKUP(C90,Customer_Master!$A$2:$E$16,5,FALSE),"")</f>
        <v>Consumer</v>
      </c>
      <c r="G90">
        <v>3</v>
      </c>
      <c r="H90" s="3">
        <v>0</v>
      </c>
      <c r="I90" t="s">
        <v>22</v>
      </c>
      <c r="J90" t="s">
        <v>23</v>
      </c>
      <c r="K90" s="4">
        <f>IFERROR(VLOOKUP(D90,Product_Master!$A$2:$F$13,5,FALSE),0)</f>
        <v>8999</v>
      </c>
      <c r="L90" t="str">
        <f>IFERROR(VLOOKUP(D90,Product_Master!$A$2:$F$13,2,FALSE),"")</f>
        <v>Office Chair</v>
      </c>
      <c r="M90" t="str">
        <f>IFERROR(VLOOKUP(D90,Product_Master!$A$2:$F$13,3,FALSE),"")</f>
        <v>Furniture</v>
      </c>
      <c r="N90" s="4">
        <f t="shared" si="5"/>
        <v>26997</v>
      </c>
      <c r="O90" s="4">
        <f t="shared" si="6"/>
        <v>0</v>
      </c>
      <c r="P90" s="4">
        <f t="shared" si="7"/>
        <v>26997</v>
      </c>
      <c r="Q90" s="4">
        <f>G90*IFERROR(VLOOKUP(D90,Product_Master!$A$2:$F$13,6,FALSE),0)</f>
        <v>18300</v>
      </c>
      <c r="R90" s="4">
        <f t="shared" si="8"/>
        <v>8697</v>
      </c>
      <c r="S90" s="5">
        <f t="shared" si="9"/>
        <v>0.3221469052116902</v>
      </c>
    </row>
    <row r="91" spans="1:19" x14ac:dyDescent="0.3">
      <c r="A91" t="s">
        <v>142</v>
      </c>
      <c r="B91" s="2">
        <v>45754</v>
      </c>
      <c r="C91" t="s">
        <v>40</v>
      </c>
      <c r="D91" t="s">
        <v>43</v>
      </c>
      <c r="E91" t="str">
        <f>IFERROR(VLOOKUP(C91,Customer_Master!$A$2:$E$16,4,FALSE),"")</f>
        <v>West</v>
      </c>
      <c r="F91" t="str">
        <f>IFERROR(VLOOKUP(C91,Customer_Master!$A$2:$E$16,5,FALSE),"")</f>
        <v>Corporate</v>
      </c>
      <c r="G91">
        <v>1</v>
      </c>
      <c r="H91" s="3">
        <v>0.1</v>
      </c>
      <c r="I91" t="s">
        <v>29</v>
      </c>
      <c r="J91" t="s">
        <v>23</v>
      </c>
      <c r="K91" s="4">
        <f>IFERROR(VLOOKUP(D91,Product_Master!$A$2:$F$13,5,FALSE),0)</f>
        <v>8999</v>
      </c>
      <c r="L91" t="str">
        <f>IFERROR(VLOOKUP(D91,Product_Master!$A$2:$F$13,2,FALSE),"")</f>
        <v>Office Chair</v>
      </c>
      <c r="M91" t="str">
        <f>IFERROR(VLOOKUP(D91,Product_Master!$A$2:$F$13,3,FALSE),"")</f>
        <v>Furniture</v>
      </c>
      <c r="N91" s="4">
        <f t="shared" si="5"/>
        <v>8999</v>
      </c>
      <c r="O91" s="4">
        <f t="shared" si="6"/>
        <v>899.90000000000009</v>
      </c>
      <c r="P91" s="4">
        <f t="shared" si="7"/>
        <v>8099.1</v>
      </c>
      <c r="Q91" s="4">
        <f>G91*IFERROR(VLOOKUP(D91,Product_Master!$A$2:$F$13,6,FALSE),0)</f>
        <v>6100</v>
      </c>
      <c r="R91" s="4">
        <f t="shared" si="8"/>
        <v>1999.1000000000004</v>
      </c>
      <c r="S91" s="5">
        <f t="shared" si="9"/>
        <v>0.2468298946796558</v>
      </c>
    </row>
    <row r="92" spans="1:19" x14ac:dyDescent="0.3">
      <c r="A92" t="s">
        <v>143</v>
      </c>
      <c r="B92" s="2">
        <v>45972</v>
      </c>
      <c r="C92" t="s">
        <v>35</v>
      </c>
      <c r="D92" t="s">
        <v>21</v>
      </c>
      <c r="E92" t="str">
        <f>IFERROR(VLOOKUP(C92,Customer_Master!$A$2:$E$16,4,FALSE),"")</f>
        <v>North</v>
      </c>
      <c r="F92" t="str">
        <f>IFERROR(VLOOKUP(C92,Customer_Master!$A$2:$E$16,5,FALSE),"")</f>
        <v>Corporate</v>
      </c>
      <c r="G92">
        <v>5</v>
      </c>
      <c r="H92" s="3">
        <v>0.15</v>
      </c>
      <c r="I92" t="s">
        <v>49</v>
      </c>
      <c r="J92" t="s">
        <v>23</v>
      </c>
      <c r="K92" s="4">
        <f>IFERROR(VLOOKUP(D92,Product_Master!$A$2:$F$13,5,FALSE),0)</f>
        <v>1499</v>
      </c>
      <c r="L92" t="str">
        <f>IFERROR(VLOOKUP(D92,Product_Master!$A$2:$F$13,2,FALSE),"")</f>
        <v>Wireless Mouse</v>
      </c>
      <c r="M92" t="str">
        <f>IFERROR(VLOOKUP(D92,Product_Master!$A$2:$F$13,3,FALSE),"")</f>
        <v>Accessories</v>
      </c>
      <c r="N92" s="4">
        <f t="shared" si="5"/>
        <v>7495</v>
      </c>
      <c r="O92" s="4">
        <f t="shared" si="6"/>
        <v>1124.25</v>
      </c>
      <c r="P92" s="4">
        <f t="shared" si="7"/>
        <v>6370.75</v>
      </c>
      <c r="Q92" s="4">
        <f>G92*IFERROR(VLOOKUP(D92,Product_Master!$A$2:$F$13,6,FALSE),0)</f>
        <v>3750</v>
      </c>
      <c r="R92" s="4">
        <f t="shared" si="8"/>
        <v>2620.75</v>
      </c>
      <c r="S92" s="5">
        <f t="shared" si="9"/>
        <v>0.41137228740729115</v>
      </c>
    </row>
    <row r="93" spans="1:19" x14ac:dyDescent="0.3">
      <c r="A93" t="s">
        <v>144</v>
      </c>
      <c r="B93" s="2">
        <v>45716</v>
      </c>
      <c r="C93" t="s">
        <v>61</v>
      </c>
      <c r="D93" t="s">
        <v>62</v>
      </c>
      <c r="E93" t="str">
        <f>IFERROR(VLOOKUP(C93,Customer_Master!$A$2:$E$16,4,FALSE),"")</f>
        <v>South</v>
      </c>
      <c r="F93" t="str">
        <f>IFERROR(VLOOKUP(C93,Customer_Master!$A$2:$E$16,5,FALSE),"")</f>
        <v>Consumer</v>
      </c>
      <c r="G93">
        <v>2</v>
      </c>
      <c r="H93" s="3">
        <v>0.05</v>
      </c>
      <c r="I93" t="s">
        <v>26</v>
      </c>
      <c r="J93" t="s">
        <v>23</v>
      </c>
      <c r="K93" s="4">
        <f>IFERROR(VLOOKUP(D93,Product_Master!$A$2:$F$13,5,FALSE),0)</f>
        <v>39999</v>
      </c>
      <c r="L93" t="str">
        <f>IFERROR(VLOOKUP(D93,Product_Master!$A$2:$F$13,2,FALSE),"")</f>
        <v>Smartphone X</v>
      </c>
      <c r="M93" t="str">
        <f>IFERROR(VLOOKUP(D93,Product_Master!$A$2:$F$13,3,FALSE),"")</f>
        <v>Electronics</v>
      </c>
      <c r="N93" s="4">
        <f t="shared" si="5"/>
        <v>79998</v>
      </c>
      <c r="O93" s="4">
        <f t="shared" si="6"/>
        <v>3999.9</v>
      </c>
      <c r="P93" s="4">
        <f t="shared" si="7"/>
        <v>75998.100000000006</v>
      </c>
      <c r="Q93" s="4">
        <f>G93*IFERROR(VLOOKUP(D93,Product_Master!$A$2:$F$13,6,FALSE),0)</f>
        <v>60000</v>
      </c>
      <c r="R93" s="4">
        <f t="shared" si="8"/>
        <v>15998.100000000006</v>
      </c>
      <c r="S93" s="5">
        <f t="shared" si="9"/>
        <v>0.21050657845393508</v>
      </c>
    </row>
    <row r="94" spans="1:19" x14ac:dyDescent="0.3">
      <c r="A94" t="s">
        <v>145</v>
      </c>
      <c r="B94" s="2">
        <v>45706</v>
      </c>
      <c r="C94" t="s">
        <v>87</v>
      </c>
      <c r="D94" t="s">
        <v>43</v>
      </c>
      <c r="E94" t="str">
        <f>IFERROR(VLOOKUP(C94,Customer_Master!$A$2:$E$16,4,FALSE),"")</f>
        <v>East</v>
      </c>
      <c r="F94" t="str">
        <f>IFERROR(VLOOKUP(C94,Customer_Master!$A$2:$E$16,5,FALSE),"")</f>
        <v>Small Business</v>
      </c>
      <c r="G94">
        <v>5</v>
      </c>
      <c r="H94" s="3">
        <v>0</v>
      </c>
      <c r="I94" t="s">
        <v>26</v>
      </c>
      <c r="J94" t="s">
        <v>23</v>
      </c>
      <c r="K94" s="4">
        <f>IFERROR(VLOOKUP(D94,Product_Master!$A$2:$F$13,5,FALSE),0)</f>
        <v>8999</v>
      </c>
      <c r="L94" t="str">
        <f>IFERROR(VLOOKUP(D94,Product_Master!$A$2:$F$13,2,FALSE),"")</f>
        <v>Office Chair</v>
      </c>
      <c r="M94" t="str">
        <f>IFERROR(VLOOKUP(D94,Product_Master!$A$2:$F$13,3,FALSE),"")</f>
        <v>Furniture</v>
      </c>
      <c r="N94" s="4">
        <f t="shared" si="5"/>
        <v>44995</v>
      </c>
      <c r="O94" s="4">
        <f t="shared" si="6"/>
        <v>0</v>
      </c>
      <c r="P94" s="4">
        <f t="shared" si="7"/>
        <v>44995</v>
      </c>
      <c r="Q94" s="4">
        <f>G94*IFERROR(VLOOKUP(D94,Product_Master!$A$2:$F$13,6,FALSE),0)</f>
        <v>30500</v>
      </c>
      <c r="R94" s="4">
        <f t="shared" si="8"/>
        <v>14495</v>
      </c>
      <c r="S94" s="5">
        <f t="shared" si="9"/>
        <v>0.3221469052116902</v>
      </c>
    </row>
    <row r="95" spans="1:19" x14ac:dyDescent="0.3">
      <c r="A95" t="s">
        <v>146</v>
      </c>
      <c r="B95" s="2">
        <v>45825</v>
      </c>
      <c r="C95" t="s">
        <v>102</v>
      </c>
      <c r="D95" t="s">
        <v>48</v>
      </c>
      <c r="E95" t="str">
        <f>IFERROR(VLOOKUP(C95,Customer_Master!$A$2:$E$16,4,FALSE),"")</f>
        <v>West</v>
      </c>
      <c r="F95" t="str">
        <f>IFERROR(VLOOKUP(C95,Customer_Master!$A$2:$E$16,5,FALSE),"")</f>
        <v>Consumer</v>
      </c>
      <c r="G95">
        <v>4</v>
      </c>
      <c r="H95" s="3">
        <v>0.1</v>
      </c>
      <c r="I95" t="s">
        <v>49</v>
      </c>
      <c r="J95" t="s">
        <v>30</v>
      </c>
      <c r="K95" s="4">
        <f>IFERROR(VLOOKUP(D95,Product_Master!$A$2:$F$13,5,FALSE),0)</f>
        <v>62999</v>
      </c>
      <c r="L95" t="str">
        <f>IFERROR(VLOOKUP(D95,Product_Master!$A$2:$F$13,2,FALSE),"")</f>
        <v>Laptop Air 13</v>
      </c>
      <c r="M95" t="str">
        <f>IFERROR(VLOOKUP(D95,Product_Master!$A$2:$F$13,3,FALSE),"")</f>
        <v>Electronics</v>
      </c>
      <c r="N95" s="4">
        <f t="shared" si="5"/>
        <v>251996</v>
      </c>
      <c r="O95" s="4">
        <f t="shared" si="6"/>
        <v>25199.600000000002</v>
      </c>
      <c r="P95" s="4">
        <f t="shared" si="7"/>
        <v>226796.4</v>
      </c>
      <c r="Q95" s="4">
        <f>G95*IFERROR(VLOOKUP(D95,Product_Master!$A$2:$F$13,6,FALSE),0)</f>
        <v>196000</v>
      </c>
      <c r="R95" s="4">
        <f t="shared" si="8"/>
        <v>30796.399999999994</v>
      </c>
      <c r="S95" s="5">
        <f t="shared" si="9"/>
        <v>0.13578875149693731</v>
      </c>
    </row>
    <row r="96" spans="1:19" x14ac:dyDescent="0.3">
      <c r="A96" t="s">
        <v>147</v>
      </c>
      <c r="B96" s="2">
        <v>45765</v>
      </c>
      <c r="C96" t="s">
        <v>45</v>
      </c>
      <c r="D96" t="s">
        <v>56</v>
      </c>
      <c r="E96" t="str">
        <f>IFERROR(VLOOKUP(C96,Customer_Master!$A$2:$E$16,4,FALSE),"")</f>
        <v>North</v>
      </c>
      <c r="F96" t="str">
        <f>IFERROR(VLOOKUP(C96,Customer_Master!$A$2:$E$16,5,FALSE),"")</f>
        <v>Consumer</v>
      </c>
      <c r="G96">
        <v>5</v>
      </c>
      <c r="H96" s="3">
        <v>0.05</v>
      </c>
      <c r="I96" t="s">
        <v>29</v>
      </c>
      <c r="J96" t="s">
        <v>23</v>
      </c>
      <c r="K96" s="4">
        <f>IFERROR(VLOOKUP(D96,Product_Master!$A$2:$F$13,5,FALSE),0)</f>
        <v>3499</v>
      </c>
      <c r="L96" t="str">
        <f>IFERROR(VLOOKUP(D96,Product_Master!$A$2:$F$13,2,FALSE),"")</f>
        <v>Bluetooth Speaker</v>
      </c>
      <c r="M96" t="str">
        <f>IFERROR(VLOOKUP(D96,Product_Master!$A$2:$F$13,3,FALSE),"")</f>
        <v>Electronics</v>
      </c>
      <c r="N96" s="4">
        <f t="shared" si="5"/>
        <v>17495</v>
      </c>
      <c r="O96" s="4">
        <f t="shared" si="6"/>
        <v>874.75</v>
      </c>
      <c r="P96" s="4">
        <f t="shared" si="7"/>
        <v>16620.25</v>
      </c>
      <c r="Q96" s="4">
        <f>G96*IFERROR(VLOOKUP(D96,Product_Master!$A$2:$F$13,6,FALSE),0)</f>
        <v>10250</v>
      </c>
      <c r="R96" s="4">
        <f t="shared" si="8"/>
        <v>6370.25</v>
      </c>
      <c r="S96" s="5">
        <f t="shared" si="9"/>
        <v>0.38328244159985558</v>
      </c>
    </row>
    <row r="97" spans="1:19" x14ac:dyDescent="0.3">
      <c r="A97" t="s">
        <v>148</v>
      </c>
      <c r="B97" s="2">
        <v>45750</v>
      </c>
      <c r="C97" t="s">
        <v>65</v>
      </c>
      <c r="D97" t="s">
        <v>41</v>
      </c>
      <c r="E97" t="str">
        <f>IFERROR(VLOOKUP(C97,Customer_Master!$A$2:$E$16,4,FALSE),"")</f>
        <v>Central</v>
      </c>
      <c r="F97" t="str">
        <f>IFERROR(VLOOKUP(C97,Customer_Master!$A$2:$E$16,5,FALSE),"")</f>
        <v>Consumer</v>
      </c>
      <c r="G97">
        <v>4</v>
      </c>
      <c r="H97" s="3">
        <v>0.1</v>
      </c>
      <c r="I97" t="s">
        <v>54</v>
      </c>
      <c r="J97" t="s">
        <v>23</v>
      </c>
      <c r="K97" s="4">
        <f>IFERROR(VLOOKUP(D97,Product_Master!$A$2:$F$13,5,FALSE),0)</f>
        <v>24999</v>
      </c>
      <c r="L97" t="str">
        <f>IFERROR(VLOOKUP(D97,Product_Master!$A$2:$F$13,2,FALSE),"")</f>
        <v>Smartphone Lite</v>
      </c>
      <c r="M97" t="str">
        <f>IFERROR(VLOOKUP(D97,Product_Master!$A$2:$F$13,3,FALSE),"")</f>
        <v>Electronics</v>
      </c>
      <c r="N97" s="4">
        <f t="shared" si="5"/>
        <v>99996</v>
      </c>
      <c r="O97" s="4">
        <f t="shared" si="6"/>
        <v>9999.6</v>
      </c>
      <c r="P97" s="4">
        <f t="shared" si="7"/>
        <v>89996.4</v>
      </c>
      <c r="Q97" s="4">
        <f>G97*IFERROR(VLOOKUP(D97,Product_Master!$A$2:$F$13,6,FALSE),0)</f>
        <v>74000</v>
      </c>
      <c r="R97" s="4">
        <f t="shared" si="8"/>
        <v>15996.399999999994</v>
      </c>
      <c r="S97" s="5">
        <f t="shared" si="9"/>
        <v>0.17774488757328066</v>
      </c>
    </row>
    <row r="98" spans="1:19" x14ac:dyDescent="0.3">
      <c r="A98" t="s">
        <v>149</v>
      </c>
      <c r="B98" s="2">
        <v>45967</v>
      </c>
      <c r="C98" t="s">
        <v>32</v>
      </c>
      <c r="D98" t="s">
        <v>41</v>
      </c>
      <c r="E98" t="str">
        <f>IFERROR(VLOOKUP(C98,Customer_Master!$A$2:$E$16,4,FALSE),"")</f>
        <v>East</v>
      </c>
      <c r="F98" t="str">
        <f>IFERROR(VLOOKUP(C98,Customer_Master!$A$2:$E$16,5,FALSE),"")</f>
        <v>Corporate</v>
      </c>
      <c r="G98">
        <v>2</v>
      </c>
      <c r="H98" s="3">
        <v>0</v>
      </c>
      <c r="I98" t="s">
        <v>22</v>
      </c>
      <c r="J98" t="s">
        <v>23</v>
      </c>
      <c r="K98" s="4">
        <f>IFERROR(VLOOKUP(D98,Product_Master!$A$2:$F$13,5,FALSE),0)</f>
        <v>24999</v>
      </c>
      <c r="L98" t="str">
        <f>IFERROR(VLOOKUP(D98,Product_Master!$A$2:$F$13,2,FALSE),"")</f>
        <v>Smartphone Lite</v>
      </c>
      <c r="M98" t="str">
        <f>IFERROR(VLOOKUP(D98,Product_Master!$A$2:$F$13,3,FALSE),"")</f>
        <v>Electronics</v>
      </c>
      <c r="N98" s="4">
        <f t="shared" si="5"/>
        <v>49998</v>
      </c>
      <c r="O98" s="4">
        <f t="shared" si="6"/>
        <v>0</v>
      </c>
      <c r="P98" s="4">
        <f t="shared" si="7"/>
        <v>49998</v>
      </c>
      <c r="Q98" s="4">
        <f>G98*IFERROR(VLOOKUP(D98,Product_Master!$A$2:$F$13,6,FALSE),0)</f>
        <v>37000</v>
      </c>
      <c r="R98" s="4">
        <f t="shared" si="8"/>
        <v>12998</v>
      </c>
      <c r="S98" s="5">
        <f t="shared" si="9"/>
        <v>0.25997039881595263</v>
      </c>
    </row>
    <row r="99" spans="1:19" x14ac:dyDescent="0.3">
      <c r="A99" t="s">
        <v>150</v>
      </c>
      <c r="B99" s="2">
        <v>46018</v>
      </c>
      <c r="C99" t="s">
        <v>45</v>
      </c>
      <c r="D99" t="s">
        <v>48</v>
      </c>
      <c r="E99" t="str">
        <f>IFERROR(VLOOKUP(C99,Customer_Master!$A$2:$E$16,4,FALSE),"")</f>
        <v>North</v>
      </c>
      <c r="F99" t="str">
        <f>IFERROR(VLOOKUP(C99,Customer_Master!$A$2:$E$16,5,FALSE),"")</f>
        <v>Consumer</v>
      </c>
      <c r="G99">
        <v>6</v>
      </c>
      <c r="H99" s="3">
        <v>0.1</v>
      </c>
      <c r="I99" t="s">
        <v>22</v>
      </c>
      <c r="J99" t="s">
        <v>30</v>
      </c>
      <c r="K99" s="4">
        <f>IFERROR(VLOOKUP(D99,Product_Master!$A$2:$F$13,5,FALSE),0)</f>
        <v>62999</v>
      </c>
      <c r="L99" t="str">
        <f>IFERROR(VLOOKUP(D99,Product_Master!$A$2:$F$13,2,FALSE),"")</f>
        <v>Laptop Air 13</v>
      </c>
      <c r="M99" t="str">
        <f>IFERROR(VLOOKUP(D99,Product_Master!$A$2:$F$13,3,FALSE),"")</f>
        <v>Electronics</v>
      </c>
      <c r="N99" s="4">
        <f t="shared" si="5"/>
        <v>377994</v>
      </c>
      <c r="O99" s="4">
        <f t="shared" si="6"/>
        <v>37799.4</v>
      </c>
      <c r="P99" s="4">
        <f t="shared" si="7"/>
        <v>340194.6</v>
      </c>
      <c r="Q99" s="4">
        <f>G99*IFERROR(VLOOKUP(D99,Product_Master!$A$2:$F$13,6,FALSE),0)</f>
        <v>294000</v>
      </c>
      <c r="R99" s="4">
        <f t="shared" si="8"/>
        <v>46194.599999999977</v>
      </c>
      <c r="S99" s="5">
        <f t="shared" si="9"/>
        <v>0.13578875149693728</v>
      </c>
    </row>
    <row r="100" spans="1:19" x14ac:dyDescent="0.3">
      <c r="A100" t="s">
        <v>151</v>
      </c>
      <c r="B100" s="2">
        <v>45957</v>
      </c>
      <c r="C100" t="s">
        <v>61</v>
      </c>
      <c r="D100" t="s">
        <v>21</v>
      </c>
      <c r="E100" t="str">
        <f>IFERROR(VLOOKUP(C100,Customer_Master!$A$2:$E$16,4,FALSE),"")</f>
        <v>South</v>
      </c>
      <c r="F100" t="str">
        <f>IFERROR(VLOOKUP(C100,Customer_Master!$A$2:$E$16,5,FALSE),"")</f>
        <v>Consumer</v>
      </c>
      <c r="G100">
        <v>3</v>
      </c>
      <c r="H100" s="3">
        <v>0.05</v>
      </c>
      <c r="I100" t="s">
        <v>54</v>
      </c>
      <c r="J100" t="s">
        <v>23</v>
      </c>
      <c r="K100" s="4">
        <f>IFERROR(VLOOKUP(D100,Product_Master!$A$2:$F$13,5,FALSE),0)</f>
        <v>1499</v>
      </c>
      <c r="L100" t="str">
        <f>IFERROR(VLOOKUP(D100,Product_Master!$A$2:$F$13,2,FALSE),"")</f>
        <v>Wireless Mouse</v>
      </c>
      <c r="M100" t="str">
        <f>IFERROR(VLOOKUP(D100,Product_Master!$A$2:$F$13,3,FALSE),"")</f>
        <v>Accessories</v>
      </c>
      <c r="N100" s="4">
        <f t="shared" si="5"/>
        <v>4497</v>
      </c>
      <c r="O100" s="4">
        <f t="shared" si="6"/>
        <v>224.85000000000002</v>
      </c>
      <c r="P100" s="4">
        <f t="shared" si="7"/>
        <v>4272.1499999999996</v>
      </c>
      <c r="Q100" s="4">
        <f>G100*IFERROR(VLOOKUP(D100,Product_Master!$A$2:$F$13,6,FALSE),0)</f>
        <v>2250</v>
      </c>
      <c r="R100" s="4">
        <f t="shared" si="8"/>
        <v>2022.1499999999996</v>
      </c>
      <c r="S100" s="5">
        <f t="shared" si="9"/>
        <v>0.47333309925915518</v>
      </c>
    </row>
    <row r="101" spans="1:19" x14ac:dyDescent="0.3">
      <c r="A101" t="s">
        <v>152</v>
      </c>
      <c r="B101" s="2">
        <v>45739</v>
      </c>
      <c r="C101" t="s">
        <v>74</v>
      </c>
      <c r="D101" t="s">
        <v>52</v>
      </c>
      <c r="E101" t="str">
        <f>IFERROR(VLOOKUP(C101,Customer_Master!$A$2:$E$16,4,FALSE),"")</f>
        <v>East</v>
      </c>
      <c r="F101" t="str">
        <f>IFERROR(VLOOKUP(C101,Customer_Master!$A$2:$E$16,5,FALSE),"")</f>
        <v>Consumer</v>
      </c>
      <c r="G101">
        <v>4</v>
      </c>
      <c r="H101" s="3">
        <v>0.05</v>
      </c>
      <c r="I101" t="s">
        <v>54</v>
      </c>
      <c r="J101" t="s">
        <v>30</v>
      </c>
      <c r="K101" s="4">
        <f>IFERROR(VLOOKUP(D101,Product_Master!$A$2:$F$13,5,FALSE),0)</f>
        <v>6999</v>
      </c>
      <c r="L101" t="str">
        <f>IFERROR(VLOOKUP(D101,Product_Master!$A$2:$F$13,2,FALSE),"")</f>
        <v>Study Desk</v>
      </c>
      <c r="M101" t="str">
        <f>IFERROR(VLOOKUP(D101,Product_Master!$A$2:$F$13,3,FALSE),"")</f>
        <v>Furniture</v>
      </c>
      <c r="N101" s="4">
        <f t="shared" si="5"/>
        <v>27996</v>
      </c>
      <c r="O101" s="4">
        <f t="shared" si="6"/>
        <v>1399.8000000000002</v>
      </c>
      <c r="P101" s="4">
        <f t="shared" si="7"/>
        <v>26596.2</v>
      </c>
      <c r="Q101" s="4">
        <f>G101*IFERROR(VLOOKUP(D101,Product_Master!$A$2:$F$13,6,FALSE),0)</f>
        <v>18000</v>
      </c>
      <c r="R101" s="4">
        <f t="shared" si="8"/>
        <v>8596.2000000000007</v>
      </c>
      <c r="S101" s="5">
        <f t="shared" si="9"/>
        <v>0.3232115866176371</v>
      </c>
    </row>
    <row r="102" spans="1:19" x14ac:dyDescent="0.3">
      <c r="A102" t="s">
        <v>153</v>
      </c>
      <c r="B102" s="2">
        <v>45879</v>
      </c>
      <c r="C102" t="s">
        <v>74</v>
      </c>
      <c r="D102" t="s">
        <v>92</v>
      </c>
      <c r="E102" t="str">
        <f>IFERROR(VLOOKUP(C102,Customer_Master!$A$2:$E$16,4,FALSE),"")</f>
        <v>East</v>
      </c>
      <c r="F102" t="str">
        <f>IFERROR(VLOOKUP(C102,Customer_Master!$A$2:$E$16,5,FALSE),"")</f>
        <v>Consumer</v>
      </c>
      <c r="G102">
        <v>2</v>
      </c>
      <c r="H102" s="3">
        <v>0.1</v>
      </c>
      <c r="I102" t="s">
        <v>26</v>
      </c>
      <c r="J102" t="s">
        <v>23</v>
      </c>
      <c r="K102" s="4">
        <f>IFERROR(VLOOKUP(D102,Product_Master!$A$2:$F$13,5,FALSE),0)</f>
        <v>4999</v>
      </c>
      <c r="L102" t="str">
        <f>IFERROR(VLOOKUP(D102,Product_Master!$A$2:$F$13,2,FALSE),"")</f>
        <v>Wireless Headphones</v>
      </c>
      <c r="M102" t="str">
        <f>IFERROR(VLOOKUP(D102,Product_Master!$A$2:$F$13,3,FALSE),"")</f>
        <v>Electronics</v>
      </c>
      <c r="N102" s="4">
        <f t="shared" si="5"/>
        <v>9998</v>
      </c>
      <c r="O102" s="4">
        <f t="shared" si="6"/>
        <v>999.80000000000007</v>
      </c>
      <c r="P102" s="4">
        <f t="shared" si="7"/>
        <v>8998.2000000000007</v>
      </c>
      <c r="Q102" s="4">
        <f>G102*IFERROR(VLOOKUP(D102,Product_Master!$A$2:$F$13,6,FALSE),0)</f>
        <v>5800</v>
      </c>
      <c r="R102" s="4">
        <f t="shared" si="8"/>
        <v>3198.2000000000007</v>
      </c>
      <c r="S102" s="5">
        <f t="shared" si="9"/>
        <v>0.35542664088373238</v>
      </c>
    </row>
    <row r="103" spans="1:19" x14ac:dyDescent="0.3">
      <c r="A103" t="s">
        <v>154</v>
      </c>
      <c r="B103" s="2">
        <v>45812</v>
      </c>
      <c r="C103" t="s">
        <v>102</v>
      </c>
      <c r="D103" t="s">
        <v>92</v>
      </c>
      <c r="E103" t="str">
        <f>IFERROR(VLOOKUP(C103,Customer_Master!$A$2:$E$16,4,FALSE),"")</f>
        <v>West</v>
      </c>
      <c r="F103" t="str">
        <f>IFERROR(VLOOKUP(C103,Customer_Master!$A$2:$E$16,5,FALSE),"")</f>
        <v>Consumer</v>
      </c>
      <c r="G103">
        <v>4</v>
      </c>
      <c r="H103" s="3">
        <v>0</v>
      </c>
      <c r="I103" t="s">
        <v>29</v>
      </c>
      <c r="J103" t="s">
        <v>23</v>
      </c>
      <c r="K103" s="4">
        <f>IFERROR(VLOOKUP(D103,Product_Master!$A$2:$F$13,5,FALSE),0)</f>
        <v>4999</v>
      </c>
      <c r="L103" t="str">
        <f>IFERROR(VLOOKUP(D103,Product_Master!$A$2:$F$13,2,FALSE),"")</f>
        <v>Wireless Headphones</v>
      </c>
      <c r="M103" t="str">
        <f>IFERROR(VLOOKUP(D103,Product_Master!$A$2:$F$13,3,FALSE),"")</f>
        <v>Electronics</v>
      </c>
      <c r="N103" s="4">
        <f t="shared" si="5"/>
        <v>19996</v>
      </c>
      <c r="O103" s="4">
        <f t="shared" si="6"/>
        <v>0</v>
      </c>
      <c r="P103" s="4">
        <f t="shared" si="7"/>
        <v>19996</v>
      </c>
      <c r="Q103" s="4">
        <f>G103*IFERROR(VLOOKUP(D103,Product_Master!$A$2:$F$13,6,FALSE),0)</f>
        <v>11600</v>
      </c>
      <c r="R103" s="4">
        <f t="shared" si="8"/>
        <v>8396</v>
      </c>
      <c r="S103" s="5">
        <f t="shared" si="9"/>
        <v>0.41988397679535905</v>
      </c>
    </row>
    <row r="104" spans="1:19" x14ac:dyDescent="0.3">
      <c r="A104" t="s">
        <v>155</v>
      </c>
      <c r="B104" s="2">
        <v>45683</v>
      </c>
      <c r="C104" t="s">
        <v>82</v>
      </c>
      <c r="D104" t="s">
        <v>70</v>
      </c>
      <c r="E104" t="str">
        <f>IFERROR(VLOOKUP(C104,Customer_Master!$A$2:$E$16,4,FALSE),"")</f>
        <v>Central</v>
      </c>
      <c r="F104" t="str">
        <f>IFERROR(VLOOKUP(C104,Customer_Master!$A$2:$E$16,5,FALSE),"")</f>
        <v>Small Business</v>
      </c>
      <c r="G104">
        <v>2</v>
      </c>
      <c r="H104" s="3">
        <v>0.05</v>
      </c>
      <c r="I104" t="s">
        <v>54</v>
      </c>
      <c r="J104" t="s">
        <v>23</v>
      </c>
      <c r="K104" s="4">
        <f>IFERROR(VLOOKUP(D104,Product_Master!$A$2:$F$13,5,FALSE),0)</f>
        <v>2499</v>
      </c>
      <c r="L104" t="str">
        <f>IFERROR(VLOOKUP(D104,Product_Master!$A$2:$F$13,2,FALSE),"")</f>
        <v>USB-C Hub</v>
      </c>
      <c r="M104" t="str">
        <f>IFERROR(VLOOKUP(D104,Product_Master!$A$2:$F$13,3,FALSE),"")</f>
        <v>Accessories</v>
      </c>
      <c r="N104" s="4">
        <f t="shared" si="5"/>
        <v>4998</v>
      </c>
      <c r="O104" s="4">
        <f t="shared" si="6"/>
        <v>249.9</v>
      </c>
      <c r="P104" s="4">
        <f t="shared" si="7"/>
        <v>4748.1000000000004</v>
      </c>
      <c r="Q104" s="4">
        <f>G104*IFERROR(VLOOKUP(D104,Product_Master!$A$2:$F$13,6,FALSE),0)</f>
        <v>2900</v>
      </c>
      <c r="R104" s="4">
        <f t="shared" si="8"/>
        <v>1848.1000000000004</v>
      </c>
      <c r="S104" s="5">
        <f t="shared" si="9"/>
        <v>0.38922937596091073</v>
      </c>
    </row>
    <row r="105" spans="1:19" x14ac:dyDescent="0.3">
      <c r="A105" t="s">
        <v>156</v>
      </c>
      <c r="B105" s="2">
        <v>45865</v>
      </c>
      <c r="C105" t="s">
        <v>61</v>
      </c>
      <c r="D105" t="s">
        <v>43</v>
      </c>
      <c r="E105" t="str">
        <f>IFERROR(VLOOKUP(C105,Customer_Master!$A$2:$E$16,4,FALSE),"")</f>
        <v>South</v>
      </c>
      <c r="F105" t="str">
        <f>IFERROR(VLOOKUP(C105,Customer_Master!$A$2:$E$16,5,FALSE),"")</f>
        <v>Consumer</v>
      </c>
      <c r="G105">
        <v>5</v>
      </c>
      <c r="H105" s="3">
        <v>0.05</v>
      </c>
      <c r="I105" t="s">
        <v>22</v>
      </c>
      <c r="J105" t="s">
        <v>23</v>
      </c>
      <c r="K105" s="4">
        <f>IFERROR(VLOOKUP(D105,Product_Master!$A$2:$F$13,5,FALSE),0)</f>
        <v>8999</v>
      </c>
      <c r="L105" t="str">
        <f>IFERROR(VLOOKUP(D105,Product_Master!$A$2:$F$13,2,FALSE),"")</f>
        <v>Office Chair</v>
      </c>
      <c r="M105" t="str">
        <f>IFERROR(VLOOKUP(D105,Product_Master!$A$2:$F$13,3,FALSE),"")</f>
        <v>Furniture</v>
      </c>
      <c r="N105" s="4">
        <f t="shared" si="5"/>
        <v>44995</v>
      </c>
      <c r="O105" s="4">
        <f t="shared" si="6"/>
        <v>2249.75</v>
      </c>
      <c r="P105" s="4">
        <f t="shared" si="7"/>
        <v>42745.25</v>
      </c>
      <c r="Q105" s="4">
        <f>G105*IFERROR(VLOOKUP(D105,Product_Master!$A$2:$F$13,6,FALSE),0)</f>
        <v>30500</v>
      </c>
      <c r="R105" s="4">
        <f t="shared" si="8"/>
        <v>12245.25</v>
      </c>
      <c r="S105" s="5">
        <f t="shared" si="9"/>
        <v>0.28647042653862126</v>
      </c>
    </row>
    <row r="106" spans="1:19" x14ac:dyDescent="0.3">
      <c r="A106" t="s">
        <v>157</v>
      </c>
      <c r="B106" s="2">
        <v>45912</v>
      </c>
      <c r="C106" t="s">
        <v>32</v>
      </c>
      <c r="D106" t="s">
        <v>21</v>
      </c>
      <c r="E106" t="str">
        <f>IFERROR(VLOOKUP(C106,Customer_Master!$A$2:$E$16,4,FALSE),"")</f>
        <v>East</v>
      </c>
      <c r="F106" t="str">
        <f>IFERROR(VLOOKUP(C106,Customer_Master!$A$2:$E$16,5,FALSE),"")</f>
        <v>Corporate</v>
      </c>
      <c r="G106">
        <v>6</v>
      </c>
      <c r="H106" s="3">
        <v>0.05</v>
      </c>
      <c r="I106" t="s">
        <v>29</v>
      </c>
      <c r="J106" t="s">
        <v>23</v>
      </c>
      <c r="K106" s="4">
        <f>IFERROR(VLOOKUP(D106,Product_Master!$A$2:$F$13,5,FALSE),0)</f>
        <v>1499</v>
      </c>
      <c r="L106" t="str">
        <f>IFERROR(VLOOKUP(D106,Product_Master!$A$2:$F$13,2,FALSE),"")</f>
        <v>Wireless Mouse</v>
      </c>
      <c r="M106" t="str">
        <f>IFERROR(VLOOKUP(D106,Product_Master!$A$2:$F$13,3,FALSE),"")</f>
        <v>Accessories</v>
      </c>
      <c r="N106" s="4">
        <f t="shared" si="5"/>
        <v>8994</v>
      </c>
      <c r="O106" s="4">
        <f t="shared" si="6"/>
        <v>449.70000000000005</v>
      </c>
      <c r="P106" s="4">
        <f t="shared" si="7"/>
        <v>8544.2999999999993</v>
      </c>
      <c r="Q106" s="4">
        <f>G106*IFERROR(VLOOKUP(D106,Product_Master!$A$2:$F$13,6,FALSE),0)</f>
        <v>4500</v>
      </c>
      <c r="R106" s="4">
        <f t="shared" si="8"/>
        <v>4044.2999999999993</v>
      </c>
      <c r="S106" s="5">
        <f t="shared" si="9"/>
        <v>0.47333309925915518</v>
      </c>
    </row>
    <row r="107" spans="1:19" x14ac:dyDescent="0.3">
      <c r="A107" t="s">
        <v>158</v>
      </c>
      <c r="B107" s="2">
        <v>45716</v>
      </c>
      <c r="C107" t="s">
        <v>37</v>
      </c>
      <c r="D107" t="s">
        <v>38</v>
      </c>
      <c r="E107" t="str">
        <f>IFERROR(VLOOKUP(C107,Customer_Master!$A$2:$E$16,4,FALSE),"")</f>
        <v>North</v>
      </c>
      <c r="F107" t="str">
        <f>IFERROR(VLOOKUP(C107,Customer_Master!$A$2:$E$16,5,FALSE),"")</f>
        <v>Consumer</v>
      </c>
      <c r="G107">
        <v>5</v>
      </c>
      <c r="H107" s="3">
        <v>0</v>
      </c>
      <c r="I107" t="s">
        <v>26</v>
      </c>
      <c r="J107" t="s">
        <v>23</v>
      </c>
      <c r="K107" s="4">
        <f>IFERROR(VLOOKUP(D107,Product_Master!$A$2:$F$13,5,FALSE),0)</f>
        <v>74999</v>
      </c>
      <c r="L107" t="str">
        <f>IFERROR(VLOOKUP(D107,Product_Master!$A$2:$F$13,2,FALSE),"")</f>
        <v>Laptop Pro 14</v>
      </c>
      <c r="M107" t="str">
        <f>IFERROR(VLOOKUP(D107,Product_Master!$A$2:$F$13,3,FALSE),"")</f>
        <v>Electronics</v>
      </c>
      <c r="N107" s="4">
        <f t="shared" si="5"/>
        <v>374995</v>
      </c>
      <c r="O107" s="4">
        <f t="shared" si="6"/>
        <v>0</v>
      </c>
      <c r="P107" s="4">
        <f t="shared" si="7"/>
        <v>374995</v>
      </c>
      <c r="Q107" s="4">
        <f>G107*IFERROR(VLOOKUP(D107,Product_Master!$A$2:$F$13,6,FALSE),0)</f>
        <v>292500</v>
      </c>
      <c r="R107" s="4">
        <f t="shared" si="8"/>
        <v>82495</v>
      </c>
      <c r="S107" s="5">
        <f t="shared" si="9"/>
        <v>0.21998959986133149</v>
      </c>
    </row>
    <row r="108" spans="1:19" x14ac:dyDescent="0.3">
      <c r="A108" t="s">
        <v>159</v>
      </c>
      <c r="B108" s="2">
        <v>45916</v>
      </c>
      <c r="C108" t="s">
        <v>20</v>
      </c>
      <c r="D108" t="s">
        <v>56</v>
      </c>
      <c r="E108" t="str">
        <f>IFERROR(VLOOKUP(C108,Customer_Master!$A$2:$E$16,4,FALSE),"")</f>
        <v>South</v>
      </c>
      <c r="F108" t="str">
        <f>IFERROR(VLOOKUP(C108,Customer_Master!$A$2:$E$16,5,FALSE),"")</f>
        <v>Small Business</v>
      </c>
      <c r="G108">
        <v>1</v>
      </c>
      <c r="H108" s="3">
        <v>0.05</v>
      </c>
      <c r="I108" t="s">
        <v>49</v>
      </c>
      <c r="J108" t="s">
        <v>23</v>
      </c>
      <c r="K108" s="4">
        <f>IFERROR(VLOOKUP(D108,Product_Master!$A$2:$F$13,5,FALSE),0)</f>
        <v>3499</v>
      </c>
      <c r="L108" t="str">
        <f>IFERROR(VLOOKUP(D108,Product_Master!$A$2:$F$13,2,FALSE),"")</f>
        <v>Bluetooth Speaker</v>
      </c>
      <c r="M108" t="str">
        <f>IFERROR(VLOOKUP(D108,Product_Master!$A$2:$F$13,3,FALSE),"")</f>
        <v>Electronics</v>
      </c>
      <c r="N108" s="4">
        <f t="shared" si="5"/>
        <v>3499</v>
      </c>
      <c r="O108" s="4">
        <f t="shared" si="6"/>
        <v>174.95000000000002</v>
      </c>
      <c r="P108" s="4">
        <f t="shared" si="7"/>
        <v>3324.05</v>
      </c>
      <c r="Q108" s="4">
        <f>G108*IFERROR(VLOOKUP(D108,Product_Master!$A$2:$F$13,6,FALSE),0)</f>
        <v>2050</v>
      </c>
      <c r="R108" s="4">
        <f t="shared" si="8"/>
        <v>1274.0500000000002</v>
      </c>
      <c r="S108" s="5">
        <f t="shared" si="9"/>
        <v>0.38328244159985564</v>
      </c>
    </row>
    <row r="109" spans="1:19" x14ac:dyDescent="0.3">
      <c r="A109" t="s">
        <v>160</v>
      </c>
      <c r="B109" s="2">
        <v>45786</v>
      </c>
      <c r="C109" t="s">
        <v>102</v>
      </c>
      <c r="D109" t="s">
        <v>28</v>
      </c>
      <c r="E109" t="str">
        <f>IFERROR(VLOOKUP(C109,Customer_Master!$A$2:$E$16,4,FALSE),"")</f>
        <v>West</v>
      </c>
      <c r="F109" t="str">
        <f>IFERROR(VLOOKUP(C109,Customer_Master!$A$2:$E$16,5,FALSE),"")</f>
        <v>Consumer</v>
      </c>
      <c r="G109">
        <v>3</v>
      </c>
      <c r="H109" s="3">
        <v>0.05</v>
      </c>
      <c r="I109" t="s">
        <v>22</v>
      </c>
      <c r="J109" t="s">
        <v>30</v>
      </c>
      <c r="K109" s="4">
        <f>IFERROR(VLOOKUP(D109,Product_Master!$A$2:$F$13,5,FALSE),0)</f>
        <v>28999</v>
      </c>
      <c r="L109" t="str">
        <f>IFERROR(VLOOKUP(D109,Product_Master!$A$2:$F$13,2,FALSE),"")</f>
        <v>Tablet Plus</v>
      </c>
      <c r="M109" t="str">
        <f>IFERROR(VLOOKUP(D109,Product_Master!$A$2:$F$13,3,FALSE),"")</f>
        <v>Electronics</v>
      </c>
      <c r="N109" s="4">
        <f t="shared" si="5"/>
        <v>86997</v>
      </c>
      <c r="O109" s="4">
        <f t="shared" si="6"/>
        <v>4349.8500000000004</v>
      </c>
      <c r="P109" s="4">
        <f t="shared" si="7"/>
        <v>82647.149999999994</v>
      </c>
      <c r="Q109" s="4">
        <f>G109*IFERROR(VLOOKUP(D109,Product_Master!$A$2:$F$13,6,FALSE),0)</f>
        <v>64500</v>
      </c>
      <c r="R109" s="4">
        <f t="shared" si="8"/>
        <v>18147.149999999994</v>
      </c>
      <c r="S109" s="5">
        <f t="shared" si="9"/>
        <v>0.21957381470504422</v>
      </c>
    </row>
    <row r="110" spans="1:19" x14ac:dyDescent="0.3">
      <c r="A110" t="s">
        <v>161</v>
      </c>
      <c r="B110" s="2">
        <v>45924</v>
      </c>
      <c r="C110" t="s">
        <v>40</v>
      </c>
      <c r="D110" t="s">
        <v>56</v>
      </c>
      <c r="E110" t="str">
        <f>IFERROR(VLOOKUP(C110,Customer_Master!$A$2:$E$16,4,FALSE),"")</f>
        <v>West</v>
      </c>
      <c r="F110" t="str">
        <f>IFERROR(VLOOKUP(C110,Customer_Master!$A$2:$E$16,5,FALSE),"")</f>
        <v>Corporate</v>
      </c>
      <c r="G110">
        <v>5</v>
      </c>
      <c r="H110" s="3">
        <v>0</v>
      </c>
      <c r="I110" t="s">
        <v>49</v>
      </c>
      <c r="J110" t="s">
        <v>23</v>
      </c>
      <c r="K110" s="4">
        <f>IFERROR(VLOOKUP(D110,Product_Master!$A$2:$F$13,5,FALSE),0)</f>
        <v>3499</v>
      </c>
      <c r="L110" t="str">
        <f>IFERROR(VLOOKUP(D110,Product_Master!$A$2:$F$13,2,FALSE),"")</f>
        <v>Bluetooth Speaker</v>
      </c>
      <c r="M110" t="str">
        <f>IFERROR(VLOOKUP(D110,Product_Master!$A$2:$F$13,3,FALSE),"")</f>
        <v>Electronics</v>
      </c>
      <c r="N110" s="4">
        <f t="shared" si="5"/>
        <v>17495</v>
      </c>
      <c r="O110" s="4">
        <f t="shared" si="6"/>
        <v>0</v>
      </c>
      <c r="P110" s="4">
        <f t="shared" si="7"/>
        <v>17495</v>
      </c>
      <c r="Q110" s="4">
        <f>G110*IFERROR(VLOOKUP(D110,Product_Master!$A$2:$F$13,6,FALSE),0)</f>
        <v>10250</v>
      </c>
      <c r="R110" s="4">
        <f t="shared" si="8"/>
        <v>7245</v>
      </c>
      <c r="S110" s="5">
        <f t="shared" si="9"/>
        <v>0.41411831951986283</v>
      </c>
    </row>
    <row r="111" spans="1:19" x14ac:dyDescent="0.3">
      <c r="A111" t="s">
        <v>162</v>
      </c>
      <c r="B111" s="2">
        <v>46000</v>
      </c>
      <c r="C111" t="s">
        <v>40</v>
      </c>
      <c r="D111" t="s">
        <v>70</v>
      </c>
      <c r="E111" t="str">
        <f>IFERROR(VLOOKUP(C111,Customer_Master!$A$2:$E$16,4,FALSE),"")</f>
        <v>West</v>
      </c>
      <c r="F111" t="str">
        <f>IFERROR(VLOOKUP(C111,Customer_Master!$A$2:$E$16,5,FALSE),"")</f>
        <v>Corporate</v>
      </c>
      <c r="G111">
        <v>1</v>
      </c>
      <c r="H111" s="3">
        <v>0.1</v>
      </c>
      <c r="I111" t="s">
        <v>26</v>
      </c>
      <c r="J111" t="s">
        <v>23</v>
      </c>
      <c r="K111" s="4">
        <f>IFERROR(VLOOKUP(D111,Product_Master!$A$2:$F$13,5,FALSE),0)</f>
        <v>2499</v>
      </c>
      <c r="L111" t="str">
        <f>IFERROR(VLOOKUP(D111,Product_Master!$A$2:$F$13,2,FALSE),"")</f>
        <v>USB-C Hub</v>
      </c>
      <c r="M111" t="str">
        <f>IFERROR(VLOOKUP(D111,Product_Master!$A$2:$F$13,3,FALSE),"")</f>
        <v>Accessories</v>
      </c>
      <c r="N111" s="4">
        <f t="shared" si="5"/>
        <v>2499</v>
      </c>
      <c r="O111" s="4">
        <f t="shared" si="6"/>
        <v>249.9</v>
      </c>
      <c r="P111" s="4">
        <f t="shared" si="7"/>
        <v>2249.1</v>
      </c>
      <c r="Q111" s="4">
        <f>G111*IFERROR(VLOOKUP(D111,Product_Master!$A$2:$F$13,6,FALSE),0)</f>
        <v>1450</v>
      </c>
      <c r="R111" s="4">
        <f t="shared" si="8"/>
        <v>799.09999999999991</v>
      </c>
      <c r="S111" s="5">
        <f t="shared" si="9"/>
        <v>0.35529767462540568</v>
      </c>
    </row>
    <row r="112" spans="1:19" x14ac:dyDescent="0.3">
      <c r="A112" t="s">
        <v>163</v>
      </c>
      <c r="B112" s="2">
        <v>45911</v>
      </c>
      <c r="C112" t="s">
        <v>20</v>
      </c>
      <c r="D112" t="s">
        <v>62</v>
      </c>
      <c r="E112" t="str">
        <f>IFERROR(VLOOKUP(C112,Customer_Master!$A$2:$E$16,4,FALSE),"")</f>
        <v>South</v>
      </c>
      <c r="F112" t="str">
        <f>IFERROR(VLOOKUP(C112,Customer_Master!$A$2:$E$16,5,FALSE),"")</f>
        <v>Small Business</v>
      </c>
      <c r="G112">
        <v>5</v>
      </c>
      <c r="H112" s="3">
        <v>0.15</v>
      </c>
      <c r="I112" t="s">
        <v>22</v>
      </c>
      <c r="J112" t="s">
        <v>23</v>
      </c>
      <c r="K112" s="4">
        <f>IFERROR(VLOOKUP(D112,Product_Master!$A$2:$F$13,5,FALSE),0)</f>
        <v>39999</v>
      </c>
      <c r="L112" t="str">
        <f>IFERROR(VLOOKUP(D112,Product_Master!$A$2:$F$13,2,FALSE),"")</f>
        <v>Smartphone X</v>
      </c>
      <c r="M112" t="str">
        <f>IFERROR(VLOOKUP(D112,Product_Master!$A$2:$F$13,3,FALSE),"")</f>
        <v>Electronics</v>
      </c>
      <c r="N112" s="4">
        <f t="shared" si="5"/>
        <v>199995</v>
      </c>
      <c r="O112" s="4">
        <f t="shared" si="6"/>
        <v>29999.25</v>
      </c>
      <c r="P112" s="4">
        <f t="shared" si="7"/>
        <v>169995.75</v>
      </c>
      <c r="Q112" s="4">
        <f>G112*IFERROR(VLOOKUP(D112,Product_Master!$A$2:$F$13,6,FALSE),0)</f>
        <v>150000</v>
      </c>
      <c r="R112" s="4">
        <f t="shared" si="8"/>
        <v>19995.75</v>
      </c>
      <c r="S112" s="5">
        <f t="shared" si="9"/>
        <v>0.11762499944851562</v>
      </c>
    </row>
    <row r="113" spans="1:19" x14ac:dyDescent="0.3">
      <c r="A113" t="s">
        <v>164</v>
      </c>
      <c r="B113" s="2">
        <v>45873</v>
      </c>
      <c r="C113" t="s">
        <v>32</v>
      </c>
      <c r="D113" t="s">
        <v>33</v>
      </c>
      <c r="E113" t="str">
        <f>IFERROR(VLOOKUP(C113,Customer_Master!$A$2:$E$16,4,FALSE),"")</f>
        <v>East</v>
      </c>
      <c r="F113" t="str">
        <f>IFERROR(VLOOKUP(C113,Customer_Master!$A$2:$E$16,5,FALSE),"")</f>
        <v>Corporate</v>
      </c>
      <c r="G113">
        <v>3</v>
      </c>
      <c r="H113" s="3">
        <v>0.15</v>
      </c>
      <c r="I113" t="s">
        <v>49</v>
      </c>
      <c r="J113" t="s">
        <v>30</v>
      </c>
      <c r="K113" s="4">
        <f>IFERROR(VLOOKUP(D113,Product_Master!$A$2:$F$13,5,FALSE),0)</f>
        <v>3999</v>
      </c>
      <c r="L113" t="str">
        <f>IFERROR(VLOOKUP(D113,Product_Master!$A$2:$F$13,2,FALSE),"")</f>
        <v>Mechanical Keyboard</v>
      </c>
      <c r="M113" t="str">
        <f>IFERROR(VLOOKUP(D113,Product_Master!$A$2:$F$13,3,FALSE),"")</f>
        <v>Accessories</v>
      </c>
      <c r="N113" s="4">
        <f t="shared" si="5"/>
        <v>11997</v>
      </c>
      <c r="O113" s="4">
        <f t="shared" si="6"/>
        <v>1799.55</v>
      </c>
      <c r="P113" s="4">
        <f t="shared" si="7"/>
        <v>10197.450000000001</v>
      </c>
      <c r="Q113" s="4">
        <f>G113*IFERROR(VLOOKUP(D113,Product_Master!$A$2:$F$13,6,FALSE),0)</f>
        <v>7050</v>
      </c>
      <c r="R113" s="4">
        <f t="shared" si="8"/>
        <v>3147.4500000000007</v>
      </c>
      <c r="S113" s="5">
        <f t="shared" si="9"/>
        <v>0.30865069208478596</v>
      </c>
    </row>
    <row r="114" spans="1:19" x14ac:dyDescent="0.3">
      <c r="A114" t="s">
        <v>165</v>
      </c>
      <c r="B114" s="2">
        <v>45929</v>
      </c>
      <c r="C114" t="s">
        <v>76</v>
      </c>
      <c r="D114" t="s">
        <v>92</v>
      </c>
      <c r="E114" t="str">
        <f>IFERROR(VLOOKUP(C114,Customer_Master!$A$2:$E$16,4,FALSE),"")</f>
        <v>West</v>
      </c>
      <c r="F114" t="str">
        <f>IFERROR(VLOOKUP(C114,Customer_Master!$A$2:$E$16,5,FALSE),"")</f>
        <v>Small Business</v>
      </c>
      <c r="G114">
        <v>3</v>
      </c>
      <c r="H114" s="3">
        <v>0.1</v>
      </c>
      <c r="I114" t="s">
        <v>54</v>
      </c>
      <c r="J114" t="s">
        <v>30</v>
      </c>
      <c r="K114" s="4">
        <f>IFERROR(VLOOKUP(D114,Product_Master!$A$2:$F$13,5,FALSE),0)</f>
        <v>4999</v>
      </c>
      <c r="L114" t="str">
        <f>IFERROR(VLOOKUP(D114,Product_Master!$A$2:$F$13,2,FALSE),"")</f>
        <v>Wireless Headphones</v>
      </c>
      <c r="M114" t="str">
        <f>IFERROR(VLOOKUP(D114,Product_Master!$A$2:$F$13,3,FALSE),"")</f>
        <v>Electronics</v>
      </c>
      <c r="N114" s="4">
        <f t="shared" si="5"/>
        <v>14997</v>
      </c>
      <c r="O114" s="4">
        <f t="shared" si="6"/>
        <v>1499.7</v>
      </c>
      <c r="P114" s="4">
        <f t="shared" si="7"/>
        <v>13497.3</v>
      </c>
      <c r="Q114" s="4">
        <f>G114*IFERROR(VLOOKUP(D114,Product_Master!$A$2:$F$13,6,FALSE),0)</f>
        <v>8700</v>
      </c>
      <c r="R114" s="4">
        <f t="shared" si="8"/>
        <v>4797.2999999999993</v>
      </c>
      <c r="S114" s="5">
        <f t="shared" si="9"/>
        <v>0.35542664088373227</v>
      </c>
    </row>
    <row r="115" spans="1:19" x14ac:dyDescent="0.3">
      <c r="A115" t="s">
        <v>166</v>
      </c>
      <c r="B115" s="2">
        <v>45997</v>
      </c>
      <c r="C115" t="s">
        <v>87</v>
      </c>
      <c r="D115" t="s">
        <v>28</v>
      </c>
      <c r="E115" t="str">
        <f>IFERROR(VLOOKUP(C115,Customer_Master!$A$2:$E$16,4,FALSE),"")</f>
        <v>East</v>
      </c>
      <c r="F115" t="str">
        <f>IFERROR(VLOOKUP(C115,Customer_Master!$A$2:$E$16,5,FALSE),"")</f>
        <v>Small Business</v>
      </c>
      <c r="G115">
        <v>6</v>
      </c>
      <c r="H115" s="3">
        <v>0.05</v>
      </c>
      <c r="I115" t="s">
        <v>29</v>
      </c>
      <c r="J115" t="s">
        <v>23</v>
      </c>
      <c r="K115" s="4">
        <f>IFERROR(VLOOKUP(D115,Product_Master!$A$2:$F$13,5,FALSE),0)</f>
        <v>28999</v>
      </c>
      <c r="L115" t="str">
        <f>IFERROR(VLOOKUP(D115,Product_Master!$A$2:$F$13,2,FALSE),"")</f>
        <v>Tablet Plus</v>
      </c>
      <c r="M115" t="str">
        <f>IFERROR(VLOOKUP(D115,Product_Master!$A$2:$F$13,3,FALSE),"")</f>
        <v>Electronics</v>
      </c>
      <c r="N115" s="4">
        <f t="shared" si="5"/>
        <v>173994</v>
      </c>
      <c r="O115" s="4">
        <f t="shared" si="6"/>
        <v>8699.7000000000007</v>
      </c>
      <c r="P115" s="4">
        <f t="shared" si="7"/>
        <v>165294.29999999999</v>
      </c>
      <c r="Q115" s="4">
        <f>G115*IFERROR(VLOOKUP(D115,Product_Master!$A$2:$F$13,6,FALSE),0)</f>
        <v>129000</v>
      </c>
      <c r="R115" s="4">
        <f t="shared" si="8"/>
        <v>36294.299999999988</v>
      </c>
      <c r="S115" s="5">
        <f t="shared" si="9"/>
        <v>0.21957381470504422</v>
      </c>
    </row>
    <row r="116" spans="1:19" x14ac:dyDescent="0.3">
      <c r="A116" t="s">
        <v>167</v>
      </c>
      <c r="B116" s="2">
        <v>45957</v>
      </c>
      <c r="C116" t="s">
        <v>47</v>
      </c>
      <c r="D116" t="s">
        <v>41</v>
      </c>
      <c r="E116" t="str">
        <f>IFERROR(VLOOKUP(C116,Customer_Master!$A$2:$E$16,4,FALSE),"")</f>
        <v>West</v>
      </c>
      <c r="F116" t="str">
        <f>IFERROR(VLOOKUP(C116,Customer_Master!$A$2:$E$16,5,FALSE),"")</f>
        <v>Corporate</v>
      </c>
      <c r="G116">
        <v>1</v>
      </c>
      <c r="H116" s="3">
        <v>0.05</v>
      </c>
      <c r="I116" t="s">
        <v>49</v>
      </c>
      <c r="J116" t="s">
        <v>23</v>
      </c>
      <c r="K116" s="4">
        <f>IFERROR(VLOOKUP(D116,Product_Master!$A$2:$F$13,5,FALSE),0)</f>
        <v>24999</v>
      </c>
      <c r="L116" t="str">
        <f>IFERROR(VLOOKUP(D116,Product_Master!$A$2:$F$13,2,FALSE),"")</f>
        <v>Smartphone Lite</v>
      </c>
      <c r="M116" t="str">
        <f>IFERROR(VLOOKUP(D116,Product_Master!$A$2:$F$13,3,FALSE),"")</f>
        <v>Electronics</v>
      </c>
      <c r="N116" s="4">
        <f t="shared" si="5"/>
        <v>24999</v>
      </c>
      <c r="O116" s="4">
        <f t="shared" si="6"/>
        <v>1249.95</v>
      </c>
      <c r="P116" s="4">
        <f t="shared" si="7"/>
        <v>23749.05</v>
      </c>
      <c r="Q116" s="4">
        <f>G116*IFERROR(VLOOKUP(D116,Product_Master!$A$2:$F$13,6,FALSE),0)</f>
        <v>18500</v>
      </c>
      <c r="R116" s="4">
        <f t="shared" si="8"/>
        <v>5249.0499999999993</v>
      </c>
      <c r="S116" s="5">
        <f t="shared" si="9"/>
        <v>0.22102147243784487</v>
      </c>
    </row>
    <row r="117" spans="1:19" x14ac:dyDescent="0.3">
      <c r="A117" t="s">
        <v>168</v>
      </c>
      <c r="B117" s="2">
        <v>45861</v>
      </c>
      <c r="C117" t="s">
        <v>35</v>
      </c>
      <c r="D117" t="s">
        <v>92</v>
      </c>
      <c r="E117" t="str">
        <f>IFERROR(VLOOKUP(C117,Customer_Master!$A$2:$E$16,4,FALSE),"")</f>
        <v>North</v>
      </c>
      <c r="F117" t="str">
        <f>IFERROR(VLOOKUP(C117,Customer_Master!$A$2:$E$16,5,FALSE),"")</f>
        <v>Corporate</v>
      </c>
      <c r="G117">
        <v>1</v>
      </c>
      <c r="H117" s="3">
        <v>0.15</v>
      </c>
      <c r="I117" t="s">
        <v>54</v>
      </c>
      <c r="J117" t="s">
        <v>23</v>
      </c>
      <c r="K117" s="4">
        <f>IFERROR(VLOOKUP(D117,Product_Master!$A$2:$F$13,5,FALSE),0)</f>
        <v>4999</v>
      </c>
      <c r="L117" t="str">
        <f>IFERROR(VLOOKUP(D117,Product_Master!$A$2:$F$13,2,FALSE),"")</f>
        <v>Wireless Headphones</v>
      </c>
      <c r="M117" t="str">
        <f>IFERROR(VLOOKUP(D117,Product_Master!$A$2:$F$13,3,FALSE),"")</f>
        <v>Electronics</v>
      </c>
      <c r="N117" s="4">
        <f t="shared" si="5"/>
        <v>4999</v>
      </c>
      <c r="O117" s="4">
        <f t="shared" si="6"/>
        <v>749.85</v>
      </c>
      <c r="P117" s="4">
        <f t="shared" si="7"/>
        <v>4249.1499999999996</v>
      </c>
      <c r="Q117" s="4">
        <f>G117*IFERROR(VLOOKUP(D117,Product_Master!$A$2:$F$13,6,FALSE),0)</f>
        <v>2900</v>
      </c>
      <c r="R117" s="4">
        <f t="shared" si="8"/>
        <v>1349.1499999999996</v>
      </c>
      <c r="S117" s="5">
        <f t="shared" si="9"/>
        <v>0.3175105609357165</v>
      </c>
    </row>
    <row r="118" spans="1:19" x14ac:dyDescent="0.3">
      <c r="A118" t="s">
        <v>169</v>
      </c>
      <c r="B118" s="2">
        <v>45877</v>
      </c>
      <c r="C118" t="s">
        <v>47</v>
      </c>
      <c r="D118" t="s">
        <v>41</v>
      </c>
      <c r="E118" t="str">
        <f>IFERROR(VLOOKUP(C118,Customer_Master!$A$2:$E$16,4,FALSE),"")</f>
        <v>West</v>
      </c>
      <c r="F118" t="str">
        <f>IFERROR(VLOOKUP(C118,Customer_Master!$A$2:$E$16,5,FALSE),"")</f>
        <v>Corporate</v>
      </c>
      <c r="G118">
        <v>6</v>
      </c>
      <c r="H118" s="3">
        <v>0.1</v>
      </c>
      <c r="I118" t="s">
        <v>54</v>
      </c>
      <c r="J118" t="s">
        <v>23</v>
      </c>
      <c r="K118" s="4">
        <f>IFERROR(VLOOKUP(D118,Product_Master!$A$2:$F$13,5,FALSE),0)</f>
        <v>24999</v>
      </c>
      <c r="L118" t="str">
        <f>IFERROR(VLOOKUP(D118,Product_Master!$A$2:$F$13,2,FALSE),"")</f>
        <v>Smartphone Lite</v>
      </c>
      <c r="M118" t="str">
        <f>IFERROR(VLOOKUP(D118,Product_Master!$A$2:$F$13,3,FALSE),"")</f>
        <v>Electronics</v>
      </c>
      <c r="N118" s="4">
        <f t="shared" si="5"/>
        <v>149994</v>
      </c>
      <c r="O118" s="4">
        <f t="shared" si="6"/>
        <v>14999.400000000001</v>
      </c>
      <c r="P118" s="4">
        <f t="shared" si="7"/>
        <v>134994.6</v>
      </c>
      <c r="Q118" s="4">
        <f>G118*IFERROR(VLOOKUP(D118,Product_Master!$A$2:$F$13,6,FALSE),0)</f>
        <v>111000</v>
      </c>
      <c r="R118" s="4">
        <f t="shared" si="8"/>
        <v>23994.600000000006</v>
      </c>
      <c r="S118" s="5">
        <f t="shared" si="9"/>
        <v>0.17774488757328075</v>
      </c>
    </row>
    <row r="119" spans="1:19" x14ac:dyDescent="0.3">
      <c r="A119" t="s">
        <v>170</v>
      </c>
      <c r="B119" s="2">
        <v>45708</v>
      </c>
      <c r="C119" t="s">
        <v>35</v>
      </c>
      <c r="D119" t="s">
        <v>21</v>
      </c>
      <c r="E119" t="str">
        <f>IFERROR(VLOOKUP(C119,Customer_Master!$A$2:$E$16,4,FALSE),"")</f>
        <v>North</v>
      </c>
      <c r="F119" t="str">
        <f>IFERROR(VLOOKUP(C119,Customer_Master!$A$2:$E$16,5,FALSE),"")</f>
        <v>Corporate</v>
      </c>
      <c r="G119">
        <v>6</v>
      </c>
      <c r="H119" s="3">
        <v>0.1</v>
      </c>
      <c r="I119" t="s">
        <v>26</v>
      </c>
      <c r="J119" t="s">
        <v>23</v>
      </c>
      <c r="K119" s="4">
        <f>IFERROR(VLOOKUP(D119,Product_Master!$A$2:$F$13,5,FALSE),0)</f>
        <v>1499</v>
      </c>
      <c r="L119" t="str">
        <f>IFERROR(VLOOKUP(D119,Product_Master!$A$2:$F$13,2,FALSE),"")</f>
        <v>Wireless Mouse</v>
      </c>
      <c r="M119" t="str">
        <f>IFERROR(VLOOKUP(D119,Product_Master!$A$2:$F$13,3,FALSE),"")</f>
        <v>Accessories</v>
      </c>
      <c r="N119" s="4">
        <f t="shared" si="5"/>
        <v>8994</v>
      </c>
      <c r="O119" s="4">
        <f t="shared" si="6"/>
        <v>899.40000000000009</v>
      </c>
      <c r="P119" s="4">
        <f t="shared" si="7"/>
        <v>8094.6</v>
      </c>
      <c r="Q119" s="4">
        <f>G119*IFERROR(VLOOKUP(D119,Product_Master!$A$2:$F$13,6,FALSE),0)</f>
        <v>4500</v>
      </c>
      <c r="R119" s="4">
        <f t="shared" si="8"/>
        <v>3594.6000000000004</v>
      </c>
      <c r="S119" s="5">
        <f t="shared" si="9"/>
        <v>0.44407382699577497</v>
      </c>
    </row>
    <row r="120" spans="1:19" x14ac:dyDescent="0.3">
      <c r="A120" t="s">
        <v>171</v>
      </c>
      <c r="B120" s="2">
        <v>45716</v>
      </c>
      <c r="C120" t="s">
        <v>37</v>
      </c>
      <c r="D120" t="s">
        <v>52</v>
      </c>
      <c r="E120" t="str">
        <f>IFERROR(VLOOKUP(C120,Customer_Master!$A$2:$E$16,4,FALSE),"")</f>
        <v>North</v>
      </c>
      <c r="F120" t="str">
        <f>IFERROR(VLOOKUP(C120,Customer_Master!$A$2:$E$16,5,FALSE),"")</f>
        <v>Consumer</v>
      </c>
      <c r="G120">
        <v>1</v>
      </c>
      <c r="H120" s="3">
        <v>0.15</v>
      </c>
      <c r="I120" t="s">
        <v>49</v>
      </c>
      <c r="J120" t="s">
        <v>23</v>
      </c>
      <c r="K120" s="4">
        <f>IFERROR(VLOOKUP(D120,Product_Master!$A$2:$F$13,5,FALSE),0)</f>
        <v>6999</v>
      </c>
      <c r="L120" t="str">
        <f>IFERROR(VLOOKUP(D120,Product_Master!$A$2:$F$13,2,FALSE),"")</f>
        <v>Study Desk</v>
      </c>
      <c r="M120" t="str">
        <f>IFERROR(VLOOKUP(D120,Product_Master!$A$2:$F$13,3,FALSE),"")</f>
        <v>Furniture</v>
      </c>
      <c r="N120" s="4">
        <f t="shared" si="5"/>
        <v>6999</v>
      </c>
      <c r="O120" s="4">
        <f t="shared" si="6"/>
        <v>1049.8499999999999</v>
      </c>
      <c r="P120" s="4">
        <f t="shared" si="7"/>
        <v>5949.15</v>
      </c>
      <c r="Q120" s="4">
        <f>G120*IFERROR(VLOOKUP(D120,Product_Master!$A$2:$F$13,6,FALSE),0)</f>
        <v>4500</v>
      </c>
      <c r="R120" s="4">
        <f t="shared" si="8"/>
        <v>1449.1499999999996</v>
      </c>
      <c r="S120" s="5">
        <f t="shared" si="9"/>
        <v>0.24358942033735909</v>
      </c>
    </row>
    <row r="121" spans="1:19" x14ac:dyDescent="0.3">
      <c r="A121" t="s">
        <v>172</v>
      </c>
      <c r="B121" s="2">
        <v>45684</v>
      </c>
      <c r="C121" t="s">
        <v>102</v>
      </c>
      <c r="D121" t="s">
        <v>41</v>
      </c>
      <c r="E121" t="str">
        <f>IFERROR(VLOOKUP(C121,Customer_Master!$A$2:$E$16,4,FALSE),"")</f>
        <v>West</v>
      </c>
      <c r="F121" t="str">
        <f>IFERROR(VLOOKUP(C121,Customer_Master!$A$2:$E$16,5,FALSE),"")</f>
        <v>Consumer</v>
      </c>
      <c r="G121">
        <v>3</v>
      </c>
      <c r="H121" s="3">
        <v>0.15</v>
      </c>
      <c r="I121" t="s">
        <v>26</v>
      </c>
      <c r="J121" t="s">
        <v>23</v>
      </c>
      <c r="K121" s="4">
        <f>IFERROR(VLOOKUP(D121,Product_Master!$A$2:$F$13,5,FALSE),0)</f>
        <v>24999</v>
      </c>
      <c r="L121" t="str">
        <f>IFERROR(VLOOKUP(D121,Product_Master!$A$2:$F$13,2,FALSE),"")</f>
        <v>Smartphone Lite</v>
      </c>
      <c r="M121" t="str">
        <f>IFERROR(VLOOKUP(D121,Product_Master!$A$2:$F$13,3,FALSE),"")</f>
        <v>Electronics</v>
      </c>
      <c r="N121" s="4">
        <f t="shared" si="5"/>
        <v>74997</v>
      </c>
      <c r="O121" s="4">
        <f t="shared" si="6"/>
        <v>11249.55</v>
      </c>
      <c r="P121" s="4">
        <f t="shared" si="7"/>
        <v>63747.45</v>
      </c>
      <c r="Q121" s="4">
        <f>G121*IFERROR(VLOOKUP(D121,Product_Master!$A$2:$F$13,6,FALSE),0)</f>
        <v>55500</v>
      </c>
      <c r="R121" s="4">
        <f t="shared" si="8"/>
        <v>8247.4499999999971</v>
      </c>
      <c r="S121" s="5">
        <f t="shared" si="9"/>
        <v>0.12937693978347364</v>
      </c>
    </row>
    <row r="122" spans="1:19" x14ac:dyDescent="0.3">
      <c r="A122" t="s">
        <v>173</v>
      </c>
      <c r="B122" s="2">
        <v>45729</v>
      </c>
      <c r="C122" t="s">
        <v>45</v>
      </c>
      <c r="D122" t="s">
        <v>33</v>
      </c>
      <c r="E122" t="str">
        <f>IFERROR(VLOOKUP(C122,Customer_Master!$A$2:$E$16,4,FALSE),"")</f>
        <v>North</v>
      </c>
      <c r="F122" t="str">
        <f>IFERROR(VLOOKUP(C122,Customer_Master!$A$2:$E$16,5,FALSE),"")</f>
        <v>Consumer</v>
      </c>
      <c r="G122">
        <v>6</v>
      </c>
      <c r="H122" s="3">
        <v>0.1</v>
      </c>
      <c r="I122" t="s">
        <v>49</v>
      </c>
      <c r="J122" t="s">
        <v>30</v>
      </c>
      <c r="K122" s="4">
        <f>IFERROR(VLOOKUP(D122,Product_Master!$A$2:$F$13,5,FALSE),0)</f>
        <v>3999</v>
      </c>
      <c r="L122" t="str">
        <f>IFERROR(VLOOKUP(D122,Product_Master!$A$2:$F$13,2,FALSE),"")</f>
        <v>Mechanical Keyboard</v>
      </c>
      <c r="M122" t="str">
        <f>IFERROR(VLOOKUP(D122,Product_Master!$A$2:$F$13,3,FALSE),"")</f>
        <v>Accessories</v>
      </c>
      <c r="N122" s="4">
        <f t="shared" si="5"/>
        <v>23994</v>
      </c>
      <c r="O122" s="4">
        <f t="shared" si="6"/>
        <v>2399.4</v>
      </c>
      <c r="P122" s="4">
        <f t="shared" si="7"/>
        <v>21594.6</v>
      </c>
      <c r="Q122" s="4">
        <f>G122*IFERROR(VLOOKUP(D122,Product_Master!$A$2:$F$13,6,FALSE),0)</f>
        <v>14100</v>
      </c>
      <c r="R122" s="4">
        <f t="shared" si="8"/>
        <v>7494.5999999999985</v>
      </c>
      <c r="S122" s="5">
        <f t="shared" si="9"/>
        <v>0.34705898696896442</v>
      </c>
    </row>
    <row r="123" spans="1:19" x14ac:dyDescent="0.3">
      <c r="A123" t="s">
        <v>174</v>
      </c>
      <c r="B123" s="2">
        <v>45956</v>
      </c>
      <c r="C123" t="s">
        <v>76</v>
      </c>
      <c r="D123" t="s">
        <v>43</v>
      </c>
      <c r="E123" t="str">
        <f>IFERROR(VLOOKUP(C123,Customer_Master!$A$2:$E$16,4,FALSE),"")</f>
        <v>West</v>
      </c>
      <c r="F123" t="str">
        <f>IFERROR(VLOOKUP(C123,Customer_Master!$A$2:$E$16,5,FALSE),"")</f>
        <v>Small Business</v>
      </c>
      <c r="G123">
        <v>6</v>
      </c>
      <c r="H123" s="3">
        <v>0.1</v>
      </c>
      <c r="I123" t="s">
        <v>54</v>
      </c>
      <c r="J123" t="s">
        <v>30</v>
      </c>
      <c r="K123" s="4">
        <f>IFERROR(VLOOKUP(D123,Product_Master!$A$2:$F$13,5,FALSE),0)</f>
        <v>8999</v>
      </c>
      <c r="L123" t="str">
        <f>IFERROR(VLOOKUP(D123,Product_Master!$A$2:$F$13,2,FALSE),"")</f>
        <v>Office Chair</v>
      </c>
      <c r="M123" t="str">
        <f>IFERROR(VLOOKUP(D123,Product_Master!$A$2:$F$13,3,FALSE),"")</f>
        <v>Furniture</v>
      </c>
      <c r="N123" s="4">
        <f t="shared" si="5"/>
        <v>53994</v>
      </c>
      <c r="O123" s="4">
        <f t="shared" si="6"/>
        <v>5399.4000000000005</v>
      </c>
      <c r="P123" s="4">
        <f t="shared" si="7"/>
        <v>48594.6</v>
      </c>
      <c r="Q123" s="4">
        <f>G123*IFERROR(VLOOKUP(D123,Product_Master!$A$2:$F$13,6,FALSE),0)</f>
        <v>36600</v>
      </c>
      <c r="R123" s="4">
        <f t="shared" si="8"/>
        <v>11994.599999999999</v>
      </c>
      <c r="S123" s="5">
        <f t="shared" si="9"/>
        <v>0.24682989467965574</v>
      </c>
    </row>
    <row r="124" spans="1:19" x14ac:dyDescent="0.3">
      <c r="A124" t="s">
        <v>175</v>
      </c>
      <c r="B124" s="2">
        <v>45806</v>
      </c>
      <c r="C124" t="s">
        <v>65</v>
      </c>
      <c r="D124" t="s">
        <v>62</v>
      </c>
      <c r="E124" t="str">
        <f>IFERROR(VLOOKUP(C124,Customer_Master!$A$2:$E$16,4,FALSE),"")</f>
        <v>Central</v>
      </c>
      <c r="F124" t="str">
        <f>IFERROR(VLOOKUP(C124,Customer_Master!$A$2:$E$16,5,FALSE),"")</f>
        <v>Consumer</v>
      </c>
      <c r="G124">
        <v>6</v>
      </c>
      <c r="H124" s="3">
        <v>0.05</v>
      </c>
      <c r="I124" t="s">
        <v>26</v>
      </c>
      <c r="J124" t="s">
        <v>23</v>
      </c>
      <c r="K124" s="4">
        <f>IFERROR(VLOOKUP(D124,Product_Master!$A$2:$F$13,5,FALSE),0)</f>
        <v>39999</v>
      </c>
      <c r="L124" t="str">
        <f>IFERROR(VLOOKUP(D124,Product_Master!$A$2:$F$13,2,FALSE),"")</f>
        <v>Smartphone X</v>
      </c>
      <c r="M124" t="str">
        <f>IFERROR(VLOOKUP(D124,Product_Master!$A$2:$F$13,3,FALSE),"")</f>
        <v>Electronics</v>
      </c>
      <c r="N124" s="4">
        <f t="shared" si="5"/>
        <v>239994</v>
      </c>
      <c r="O124" s="4">
        <f t="shared" si="6"/>
        <v>11999.7</v>
      </c>
      <c r="P124" s="4">
        <f t="shared" si="7"/>
        <v>227994.3</v>
      </c>
      <c r="Q124" s="4">
        <f>G124*IFERROR(VLOOKUP(D124,Product_Master!$A$2:$F$13,6,FALSE),0)</f>
        <v>180000</v>
      </c>
      <c r="R124" s="4">
        <f t="shared" si="8"/>
        <v>47994.299999999988</v>
      </c>
      <c r="S124" s="5">
        <f t="shared" si="9"/>
        <v>0.210506578453935</v>
      </c>
    </row>
    <row r="125" spans="1:19" x14ac:dyDescent="0.3">
      <c r="A125" t="s">
        <v>176</v>
      </c>
      <c r="B125" s="2">
        <v>45816</v>
      </c>
      <c r="C125" t="s">
        <v>102</v>
      </c>
      <c r="D125" t="s">
        <v>21</v>
      </c>
      <c r="E125" t="str">
        <f>IFERROR(VLOOKUP(C125,Customer_Master!$A$2:$E$16,4,FALSE),"")</f>
        <v>West</v>
      </c>
      <c r="F125" t="str">
        <f>IFERROR(VLOOKUP(C125,Customer_Master!$A$2:$E$16,5,FALSE),"")</f>
        <v>Consumer</v>
      </c>
      <c r="G125">
        <v>5</v>
      </c>
      <c r="H125" s="3">
        <v>0.15</v>
      </c>
      <c r="I125" t="s">
        <v>54</v>
      </c>
      <c r="J125" t="s">
        <v>23</v>
      </c>
      <c r="K125" s="4">
        <f>IFERROR(VLOOKUP(D125,Product_Master!$A$2:$F$13,5,FALSE),0)</f>
        <v>1499</v>
      </c>
      <c r="L125" t="str">
        <f>IFERROR(VLOOKUP(D125,Product_Master!$A$2:$F$13,2,FALSE),"")</f>
        <v>Wireless Mouse</v>
      </c>
      <c r="M125" t="str">
        <f>IFERROR(VLOOKUP(D125,Product_Master!$A$2:$F$13,3,FALSE),"")</f>
        <v>Accessories</v>
      </c>
      <c r="N125" s="4">
        <f t="shared" si="5"/>
        <v>7495</v>
      </c>
      <c r="O125" s="4">
        <f t="shared" si="6"/>
        <v>1124.25</v>
      </c>
      <c r="P125" s="4">
        <f t="shared" si="7"/>
        <v>6370.75</v>
      </c>
      <c r="Q125" s="4">
        <f>G125*IFERROR(VLOOKUP(D125,Product_Master!$A$2:$F$13,6,FALSE),0)</f>
        <v>3750</v>
      </c>
      <c r="R125" s="4">
        <f t="shared" si="8"/>
        <v>2620.75</v>
      </c>
      <c r="S125" s="5">
        <f t="shared" si="9"/>
        <v>0.41137228740729115</v>
      </c>
    </row>
    <row r="126" spans="1:19" x14ac:dyDescent="0.3">
      <c r="A126" t="s">
        <v>177</v>
      </c>
      <c r="B126" s="2">
        <v>46008</v>
      </c>
      <c r="C126" t="s">
        <v>76</v>
      </c>
      <c r="D126" t="s">
        <v>70</v>
      </c>
      <c r="E126" t="str">
        <f>IFERROR(VLOOKUP(C126,Customer_Master!$A$2:$E$16,4,FALSE),"")</f>
        <v>West</v>
      </c>
      <c r="F126" t="str">
        <f>IFERROR(VLOOKUP(C126,Customer_Master!$A$2:$E$16,5,FALSE),"")</f>
        <v>Small Business</v>
      </c>
      <c r="G126">
        <v>6</v>
      </c>
      <c r="H126" s="3">
        <v>0.15</v>
      </c>
      <c r="I126" t="s">
        <v>22</v>
      </c>
      <c r="J126" t="s">
        <v>23</v>
      </c>
      <c r="K126" s="4">
        <f>IFERROR(VLOOKUP(D126,Product_Master!$A$2:$F$13,5,FALSE),0)</f>
        <v>2499</v>
      </c>
      <c r="L126" t="str">
        <f>IFERROR(VLOOKUP(D126,Product_Master!$A$2:$F$13,2,FALSE),"")</f>
        <v>USB-C Hub</v>
      </c>
      <c r="M126" t="str">
        <f>IFERROR(VLOOKUP(D126,Product_Master!$A$2:$F$13,3,FALSE),"")</f>
        <v>Accessories</v>
      </c>
      <c r="N126" s="4">
        <f t="shared" si="5"/>
        <v>14994</v>
      </c>
      <c r="O126" s="4">
        <f t="shared" si="6"/>
        <v>2249.1</v>
      </c>
      <c r="P126" s="4">
        <f t="shared" si="7"/>
        <v>12744.9</v>
      </c>
      <c r="Q126" s="4">
        <f>G126*IFERROR(VLOOKUP(D126,Product_Master!$A$2:$F$13,6,FALSE),0)</f>
        <v>8700</v>
      </c>
      <c r="R126" s="4">
        <f t="shared" si="8"/>
        <v>4044.8999999999996</v>
      </c>
      <c r="S126" s="5">
        <f t="shared" si="9"/>
        <v>0.31737400842690017</v>
      </c>
    </row>
    <row r="127" spans="1:19" x14ac:dyDescent="0.3">
      <c r="A127" t="s">
        <v>178</v>
      </c>
      <c r="B127" s="2">
        <v>45780</v>
      </c>
      <c r="C127" t="s">
        <v>82</v>
      </c>
      <c r="D127" t="s">
        <v>28</v>
      </c>
      <c r="E127" t="str">
        <f>IFERROR(VLOOKUP(C127,Customer_Master!$A$2:$E$16,4,FALSE),"")</f>
        <v>Central</v>
      </c>
      <c r="F127" t="str">
        <f>IFERROR(VLOOKUP(C127,Customer_Master!$A$2:$E$16,5,FALSE),"")</f>
        <v>Small Business</v>
      </c>
      <c r="G127">
        <v>2</v>
      </c>
      <c r="H127" s="3">
        <v>0.05</v>
      </c>
      <c r="I127" t="s">
        <v>22</v>
      </c>
      <c r="J127" t="s">
        <v>23</v>
      </c>
      <c r="K127" s="4">
        <f>IFERROR(VLOOKUP(D127,Product_Master!$A$2:$F$13,5,FALSE),0)</f>
        <v>28999</v>
      </c>
      <c r="L127" t="str">
        <f>IFERROR(VLOOKUP(D127,Product_Master!$A$2:$F$13,2,FALSE),"")</f>
        <v>Tablet Plus</v>
      </c>
      <c r="M127" t="str">
        <f>IFERROR(VLOOKUP(D127,Product_Master!$A$2:$F$13,3,FALSE),"")</f>
        <v>Electronics</v>
      </c>
      <c r="N127" s="4">
        <f t="shared" si="5"/>
        <v>57998</v>
      </c>
      <c r="O127" s="4">
        <f t="shared" si="6"/>
        <v>2899.9</v>
      </c>
      <c r="P127" s="4">
        <f t="shared" si="7"/>
        <v>55098.1</v>
      </c>
      <c r="Q127" s="4">
        <f>G127*IFERROR(VLOOKUP(D127,Product_Master!$A$2:$F$13,6,FALSE),0)</f>
        <v>43000</v>
      </c>
      <c r="R127" s="4">
        <f t="shared" si="8"/>
        <v>12098.099999999999</v>
      </c>
      <c r="S127" s="5">
        <f t="shared" si="9"/>
        <v>0.21957381470504425</v>
      </c>
    </row>
    <row r="128" spans="1:19" x14ac:dyDescent="0.3">
      <c r="A128" t="s">
        <v>179</v>
      </c>
      <c r="B128" s="2">
        <v>45678</v>
      </c>
      <c r="C128" t="s">
        <v>87</v>
      </c>
      <c r="D128" t="s">
        <v>43</v>
      </c>
      <c r="E128" t="str">
        <f>IFERROR(VLOOKUP(C128,Customer_Master!$A$2:$E$16,4,FALSE),"")</f>
        <v>East</v>
      </c>
      <c r="F128" t="str">
        <f>IFERROR(VLOOKUP(C128,Customer_Master!$A$2:$E$16,5,FALSE),"")</f>
        <v>Small Business</v>
      </c>
      <c r="G128">
        <v>6</v>
      </c>
      <c r="H128" s="3">
        <v>0</v>
      </c>
      <c r="I128" t="s">
        <v>29</v>
      </c>
      <c r="J128" t="s">
        <v>23</v>
      </c>
      <c r="K128" s="4">
        <f>IFERROR(VLOOKUP(D128,Product_Master!$A$2:$F$13,5,FALSE),0)</f>
        <v>8999</v>
      </c>
      <c r="L128" t="str">
        <f>IFERROR(VLOOKUP(D128,Product_Master!$A$2:$F$13,2,FALSE),"")</f>
        <v>Office Chair</v>
      </c>
      <c r="M128" t="str">
        <f>IFERROR(VLOOKUP(D128,Product_Master!$A$2:$F$13,3,FALSE),"")</f>
        <v>Furniture</v>
      </c>
      <c r="N128" s="4">
        <f t="shared" si="5"/>
        <v>53994</v>
      </c>
      <c r="O128" s="4">
        <f t="shared" si="6"/>
        <v>0</v>
      </c>
      <c r="P128" s="4">
        <f t="shared" si="7"/>
        <v>53994</v>
      </c>
      <c r="Q128" s="4">
        <f>G128*IFERROR(VLOOKUP(D128,Product_Master!$A$2:$F$13,6,FALSE),0)</f>
        <v>36600</v>
      </c>
      <c r="R128" s="4">
        <f t="shared" si="8"/>
        <v>17394</v>
      </c>
      <c r="S128" s="5">
        <f t="shared" si="9"/>
        <v>0.3221469052116902</v>
      </c>
    </row>
    <row r="129" spans="1:19" x14ac:dyDescent="0.3">
      <c r="A129" t="s">
        <v>180</v>
      </c>
      <c r="B129" s="2">
        <v>45671</v>
      </c>
      <c r="C129" t="s">
        <v>76</v>
      </c>
      <c r="D129" t="s">
        <v>56</v>
      </c>
      <c r="E129" t="str">
        <f>IFERROR(VLOOKUP(C129,Customer_Master!$A$2:$E$16,4,FALSE),"")</f>
        <v>West</v>
      </c>
      <c r="F129" t="str">
        <f>IFERROR(VLOOKUP(C129,Customer_Master!$A$2:$E$16,5,FALSE),"")</f>
        <v>Small Business</v>
      </c>
      <c r="G129">
        <v>5</v>
      </c>
      <c r="H129" s="3">
        <v>0</v>
      </c>
      <c r="I129" t="s">
        <v>29</v>
      </c>
      <c r="J129" t="s">
        <v>23</v>
      </c>
      <c r="K129" s="4">
        <f>IFERROR(VLOOKUP(D129,Product_Master!$A$2:$F$13,5,FALSE),0)</f>
        <v>3499</v>
      </c>
      <c r="L129" t="str">
        <f>IFERROR(VLOOKUP(D129,Product_Master!$A$2:$F$13,2,FALSE),"")</f>
        <v>Bluetooth Speaker</v>
      </c>
      <c r="M129" t="str">
        <f>IFERROR(VLOOKUP(D129,Product_Master!$A$2:$F$13,3,FALSE),"")</f>
        <v>Electronics</v>
      </c>
      <c r="N129" s="4">
        <f t="shared" si="5"/>
        <v>17495</v>
      </c>
      <c r="O129" s="4">
        <f t="shared" si="6"/>
        <v>0</v>
      </c>
      <c r="P129" s="4">
        <f t="shared" si="7"/>
        <v>17495</v>
      </c>
      <c r="Q129" s="4">
        <f>G129*IFERROR(VLOOKUP(D129,Product_Master!$A$2:$F$13,6,FALSE),0)</f>
        <v>10250</v>
      </c>
      <c r="R129" s="4">
        <f t="shared" si="8"/>
        <v>7245</v>
      </c>
      <c r="S129" s="5">
        <f t="shared" si="9"/>
        <v>0.41411831951986283</v>
      </c>
    </row>
    <row r="130" spans="1:19" x14ac:dyDescent="0.3">
      <c r="A130" t="s">
        <v>181</v>
      </c>
      <c r="B130" s="2">
        <v>45695</v>
      </c>
      <c r="C130" t="s">
        <v>40</v>
      </c>
      <c r="D130" t="s">
        <v>28</v>
      </c>
      <c r="E130" t="str">
        <f>IFERROR(VLOOKUP(C130,Customer_Master!$A$2:$E$16,4,FALSE),"")</f>
        <v>West</v>
      </c>
      <c r="F130" t="str">
        <f>IFERROR(VLOOKUP(C130,Customer_Master!$A$2:$E$16,5,FALSE),"")</f>
        <v>Corporate</v>
      </c>
      <c r="G130">
        <v>1</v>
      </c>
      <c r="H130" s="3">
        <v>0.05</v>
      </c>
      <c r="I130" t="s">
        <v>22</v>
      </c>
      <c r="J130" t="s">
        <v>23</v>
      </c>
      <c r="K130" s="4">
        <f>IFERROR(VLOOKUP(D130,Product_Master!$A$2:$F$13,5,FALSE),0)</f>
        <v>28999</v>
      </c>
      <c r="L130" t="str">
        <f>IFERROR(VLOOKUP(D130,Product_Master!$A$2:$F$13,2,FALSE),"")</f>
        <v>Tablet Plus</v>
      </c>
      <c r="M130" t="str">
        <f>IFERROR(VLOOKUP(D130,Product_Master!$A$2:$F$13,3,FALSE),"")</f>
        <v>Electronics</v>
      </c>
      <c r="N130" s="4">
        <f t="shared" ref="N130:N193" si="10">G130*K130</f>
        <v>28999</v>
      </c>
      <c r="O130" s="4">
        <f t="shared" ref="O130:O193" si="11">N130*H130</f>
        <v>1449.95</v>
      </c>
      <c r="P130" s="4">
        <f t="shared" ref="P130:P193" si="12">N130-O130</f>
        <v>27549.05</v>
      </c>
      <c r="Q130" s="4">
        <f>G130*IFERROR(VLOOKUP(D130,Product_Master!$A$2:$F$13,6,FALSE),0)</f>
        <v>21500</v>
      </c>
      <c r="R130" s="4">
        <f t="shared" ref="R130:R193" si="13">P130-Q130</f>
        <v>6049.0499999999993</v>
      </c>
      <c r="S130" s="5">
        <f t="shared" ref="S130:S193" si="14">IFERROR(R130/P130,0)</f>
        <v>0.21957381470504425</v>
      </c>
    </row>
    <row r="131" spans="1:19" x14ac:dyDescent="0.3">
      <c r="A131" t="s">
        <v>182</v>
      </c>
      <c r="B131" s="2">
        <v>45905</v>
      </c>
      <c r="C131" t="s">
        <v>82</v>
      </c>
      <c r="D131" t="s">
        <v>92</v>
      </c>
      <c r="E131" t="str">
        <f>IFERROR(VLOOKUP(C131,Customer_Master!$A$2:$E$16,4,FALSE),"")</f>
        <v>Central</v>
      </c>
      <c r="F131" t="str">
        <f>IFERROR(VLOOKUP(C131,Customer_Master!$A$2:$E$16,5,FALSE),"")</f>
        <v>Small Business</v>
      </c>
      <c r="G131">
        <v>4</v>
      </c>
      <c r="H131" s="3">
        <v>0.05</v>
      </c>
      <c r="I131" t="s">
        <v>26</v>
      </c>
      <c r="J131" t="s">
        <v>23</v>
      </c>
      <c r="K131" s="4">
        <f>IFERROR(VLOOKUP(D131,Product_Master!$A$2:$F$13,5,FALSE),0)</f>
        <v>4999</v>
      </c>
      <c r="L131" t="str">
        <f>IFERROR(VLOOKUP(D131,Product_Master!$A$2:$F$13,2,FALSE),"")</f>
        <v>Wireless Headphones</v>
      </c>
      <c r="M131" t="str">
        <f>IFERROR(VLOOKUP(D131,Product_Master!$A$2:$F$13,3,FALSE),"")</f>
        <v>Electronics</v>
      </c>
      <c r="N131" s="4">
        <f t="shared" si="10"/>
        <v>19996</v>
      </c>
      <c r="O131" s="4">
        <f t="shared" si="11"/>
        <v>999.80000000000007</v>
      </c>
      <c r="P131" s="4">
        <f t="shared" si="12"/>
        <v>18996.2</v>
      </c>
      <c r="Q131" s="4">
        <f>G131*IFERROR(VLOOKUP(D131,Product_Master!$A$2:$F$13,6,FALSE),0)</f>
        <v>11600</v>
      </c>
      <c r="R131" s="4">
        <f t="shared" si="13"/>
        <v>7396.2000000000007</v>
      </c>
      <c r="S131" s="5">
        <f t="shared" si="14"/>
        <v>0.38935155452143061</v>
      </c>
    </row>
    <row r="132" spans="1:19" x14ac:dyDescent="0.3">
      <c r="A132" t="s">
        <v>183</v>
      </c>
      <c r="B132" s="2">
        <v>45726</v>
      </c>
      <c r="C132" t="s">
        <v>45</v>
      </c>
      <c r="D132" t="s">
        <v>33</v>
      </c>
      <c r="E132" t="str">
        <f>IFERROR(VLOOKUP(C132,Customer_Master!$A$2:$E$16,4,FALSE),"")</f>
        <v>North</v>
      </c>
      <c r="F132" t="str">
        <f>IFERROR(VLOOKUP(C132,Customer_Master!$A$2:$E$16,5,FALSE),"")</f>
        <v>Consumer</v>
      </c>
      <c r="G132">
        <v>1</v>
      </c>
      <c r="H132" s="3">
        <v>0</v>
      </c>
      <c r="I132" t="s">
        <v>49</v>
      </c>
      <c r="J132" t="s">
        <v>30</v>
      </c>
      <c r="K132" s="4">
        <f>IFERROR(VLOOKUP(D132,Product_Master!$A$2:$F$13,5,FALSE),0)</f>
        <v>3999</v>
      </c>
      <c r="L132" t="str">
        <f>IFERROR(VLOOKUP(D132,Product_Master!$A$2:$F$13,2,FALSE),"")</f>
        <v>Mechanical Keyboard</v>
      </c>
      <c r="M132" t="str">
        <f>IFERROR(VLOOKUP(D132,Product_Master!$A$2:$F$13,3,FALSE),"")</f>
        <v>Accessories</v>
      </c>
      <c r="N132" s="4">
        <f t="shared" si="10"/>
        <v>3999</v>
      </c>
      <c r="O132" s="4">
        <f t="shared" si="11"/>
        <v>0</v>
      </c>
      <c r="P132" s="4">
        <f t="shared" si="12"/>
        <v>3999</v>
      </c>
      <c r="Q132" s="4">
        <f>G132*IFERROR(VLOOKUP(D132,Product_Master!$A$2:$F$13,6,FALSE),0)</f>
        <v>2350</v>
      </c>
      <c r="R132" s="4">
        <f t="shared" si="13"/>
        <v>1649</v>
      </c>
      <c r="S132" s="5">
        <f t="shared" si="14"/>
        <v>0.41235308827206801</v>
      </c>
    </row>
    <row r="133" spans="1:19" x14ac:dyDescent="0.3">
      <c r="A133" t="s">
        <v>184</v>
      </c>
      <c r="B133" s="2">
        <v>45885</v>
      </c>
      <c r="C133" t="s">
        <v>65</v>
      </c>
      <c r="D133" t="s">
        <v>41</v>
      </c>
      <c r="E133" t="str">
        <f>IFERROR(VLOOKUP(C133,Customer_Master!$A$2:$E$16,4,FALSE),"")</f>
        <v>Central</v>
      </c>
      <c r="F133" t="str">
        <f>IFERROR(VLOOKUP(C133,Customer_Master!$A$2:$E$16,5,FALSE),"")</f>
        <v>Consumer</v>
      </c>
      <c r="G133">
        <v>4</v>
      </c>
      <c r="H133" s="3">
        <v>0.05</v>
      </c>
      <c r="I133" t="s">
        <v>49</v>
      </c>
      <c r="J133" t="s">
        <v>23</v>
      </c>
      <c r="K133" s="4">
        <f>IFERROR(VLOOKUP(D133,Product_Master!$A$2:$F$13,5,FALSE),0)</f>
        <v>24999</v>
      </c>
      <c r="L133" t="str">
        <f>IFERROR(VLOOKUP(D133,Product_Master!$A$2:$F$13,2,FALSE),"")</f>
        <v>Smartphone Lite</v>
      </c>
      <c r="M133" t="str">
        <f>IFERROR(VLOOKUP(D133,Product_Master!$A$2:$F$13,3,FALSE),"")</f>
        <v>Electronics</v>
      </c>
      <c r="N133" s="4">
        <f t="shared" si="10"/>
        <v>99996</v>
      </c>
      <c r="O133" s="4">
        <f t="shared" si="11"/>
        <v>4999.8</v>
      </c>
      <c r="P133" s="4">
        <f t="shared" si="12"/>
        <v>94996.2</v>
      </c>
      <c r="Q133" s="4">
        <f>G133*IFERROR(VLOOKUP(D133,Product_Master!$A$2:$F$13,6,FALSE),0)</f>
        <v>74000</v>
      </c>
      <c r="R133" s="4">
        <f t="shared" si="13"/>
        <v>20996.199999999997</v>
      </c>
      <c r="S133" s="5">
        <f t="shared" si="14"/>
        <v>0.22102147243784487</v>
      </c>
    </row>
    <row r="134" spans="1:19" x14ac:dyDescent="0.3">
      <c r="A134" t="s">
        <v>185</v>
      </c>
      <c r="B134" s="2">
        <v>45992</v>
      </c>
      <c r="C134" t="s">
        <v>45</v>
      </c>
      <c r="D134" t="s">
        <v>62</v>
      </c>
      <c r="E134" t="str">
        <f>IFERROR(VLOOKUP(C134,Customer_Master!$A$2:$E$16,4,FALSE),"")</f>
        <v>North</v>
      </c>
      <c r="F134" t="str">
        <f>IFERROR(VLOOKUP(C134,Customer_Master!$A$2:$E$16,5,FALSE),"")</f>
        <v>Consumer</v>
      </c>
      <c r="G134">
        <v>5</v>
      </c>
      <c r="H134" s="3">
        <v>0.05</v>
      </c>
      <c r="I134" t="s">
        <v>54</v>
      </c>
      <c r="J134" t="s">
        <v>30</v>
      </c>
      <c r="K134" s="4">
        <f>IFERROR(VLOOKUP(D134,Product_Master!$A$2:$F$13,5,FALSE),0)</f>
        <v>39999</v>
      </c>
      <c r="L134" t="str">
        <f>IFERROR(VLOOKUP(D134,Product_Master!$A$2:$F$13,2,FALSE),"")</f>
        <v>Smartphone X</v>
      </c>
      <c r="M134" t="str">
        <f>IFERROR(VLOOKUP(D134,Product_Master!$A$2:$F$13,3,FALSE),"")</f>
        <v>Electronics</v>
      </c>
      <c r="N134" s="4">
        <f t="shared" si="10"/>
        <v>199995</v>
      </c>
      <c r="O134" s="4">
        <f t="shared" si="11"/>
        <v>9999.75</v>
      </c>
      <c r="P134" s="4">
        <f t="shared" si="12"/>
        <v>189995.25</v>
      </c>
      <c r="Q134" s="4">
        <f>G134*IFERROR(VLOOKUP(D134,Product_Master!$A$2:$F$13,6,FALSE),0)</f>
        <v>150000</v>
      </c>
      <c r="R134" s="4">
        <f t="shared" si="13"/>
        <v>39995.25</v>
      </c>
      <c r="S134" s="5">
        <f t="shared" si="14"/>
        <v>0.21050657845393503</v>
      </c>
    </row>
    <row r="135" spans="1:19" x14ac:dyDescent="0.3">
      <c r="A135" t="s">
        <v>186</v>
      </c>
      <c r="B135" s="2">
        <v>45752</v>
      </c>
      <c r="C135" t="s">
        <v>47</v>
      </c>
      <c r="D135" t="s">
        <v>52</v>
      </c>
      <c r="E135" t="str">
        <f>IFERROR(VLOOKUP(C135,Customer_Master!$A$2:$E$16,4,FALSE),"")</f>
        <v>West</v>
      </c>
      <c r="F135" t="str">
        <f>IFERROR(VLOOKUP(C135,Customer_Master!$A$2:$E$16,5,FALSE),"")</f>
        <v>Corporate</v>
      </c>
      <c r="G135">
        <v>4</v>
      </c>
      <c r="H135" s="3">
        <v>0.05</v>
      </c>
      <c r="I135" t="s">
        <v>22</v>
      </c>
      <c r="J135" t="s">
        <v>23</v>
      </c>
      <c r="K135" s="4">
        <f>IFERROR(VLOOKUP(D135,Product_Master!$A$2:$F$13,5,FALSE),0)</f>
        <v>6999</v>
      </c>
      <c r="L135" t="str">
        <f>IFERROR(VLOOKUP(D135,Product_Master!$A$2:$F$13,2,FALSE),"")</f>
        <v>Study Desk</v>
      </c>
      <c r="M135" t="str">
        <f>IFERROR(VLOOKUP(D135,Product_Master!$A$2:$F$13,3,FALSE),"")</f>
        <v>Furniture</v>
      </c>
      <c r="N135" s="4">
        <f t="shared" si="10"/>
        <v>27996</v>
      </c>
      <c r="O135" s="4">
        <f t="shared" si="11"/>
        <v>1399.8000000000002</v>
      </c>
      <c r="P135" s="4">
        <f t="shared" si="12"/>
        <v>26596.2</v>
      </c>
      <c r="Q135" s="4">
        <f>G135*IFERROR(VLOOKUP(D135,Product_Master!$A$2:$F$13,6,FALSE),0)</f>
        <v>18000</v>
      </c>
      <c r="R135" s="4">
        <f t="shared" si="13"/>
        <v>8596.2000000000007</v>
      </c>
      <c r="S135" s="5">
        <f t="shared" si="14"/>
        <v>0.3232115866176371</v>
      </c>
    </row>
    <row r="136" spans="1:19" x14ac:dyDescent="0.3">
      <c r="A136" t="s">
        <v>187</v>
      </c>
      <c r="B136" s="2">
        <v>45698</v>
      </c>
      <c r="C136" t="s">
        <v>20</v>
      </c>
      <c r="D136" t="s">
        <v>92</v>
      </c>
      <c r="E136" t="str">
        <f>IFERROR(VLOOKUP(C136,Customer_Master!$A$2:$E$16,4,FALSE),"")</f>
        <v>South</v>
      </c>
      <c r="F136" t="str">
        <f>IFERROR(VLOOKUP(C136,Customer_Master!$A$2:$E$16,5,FALSE),"")</f>
        <v>Small Business</v>
      </c>
      <c r="G136">
        <v>5</v>
      </c>
      <c r="H136" s="3">
        <v>0</v>
      </c>
      <c r="I136" t="s">
        <v>49</v>
      </c>
      <c r="J136" t="s">
        <v>30</v>
      </c>
      <c r="K136" s="4">
        <f>IFERROR(VLOOKUP(D136,Product_Master!$A$2:$F$13,5,FALSE),0)</f>
        <v>4999</v>
      </c>
      <c r="L136" t="str">
        <f>IFERROR(VLOOKUP(D136,Product_Master!$A$2:$F$13,2,FALSE),"")</f>
        <v>Wireless Headphones</v>
      </c>
      <c r="M136" t="str">
        <f>IFERROR(VLOOKUP(D136,Product_Master!$A$2:$F$13,3,FALSE),"")</f>
        <v>Electronics</v>
      </c>
      <c r="N136" s="4">
        <f t="shared" si="10"/>
        <v>24995</v>
      </c>
      <c r="O136" s="4">
        <f t="shared" si="11"/>
        <v>0</v>
      </c>
      <c r="P136" s="4">
        <f t="shared" si="12"/>
        <v>24995</v>
      </c>
      <c r="Q136" s="4">
        <f>G136*IFERROR(VLOOKUP(D136,Product_Master!$A$2:$F$13,6,FALSE),0)</f>
        <v>14500</v>
      </c>
      <c r="R136" s="4">
        <f t="shared" si="13"/>
        <v>10495</v>
      </c>
      <c r="S136" s="5">
        <f t="shared" si="14"/>
        <v>0.41988397679535905</v>
      </c>
    </row>
    <row r="137" spans="1:19" x14ac:dyDescent="0.3">
      <c r="A137" t="s">
        <v>188</v>
      </c>
      <c r="B137" s="2">
        <v>46008</v>
      </c>
      <c r="C137" t="s">
        <v>37</v>
      </c>
      <c r="D137" t="s">
        <v>33</v>
      </c>
      <c r="E137" t="str">
        <f>IFERROR(VLOOKUP(C137,Customer_Master!$A$2:$E$16,4,FALSE),"")</f>
        <v>North</v>
      </c>
      <c r="F137" t="str">
        <f>IFERROR(VLOOKUP(C137,Customer_Master!$A$2:$E$16,5,FALSE),"")</f>
        <v>Consumer</v>
      </c>
      <c r="G137">
        <v>4</v>
      </c>
      <c r="H137" s="3">
        <v>0.05</v>
      </c>
      <c r="I137" t="s">
        <v>29</v>
      </c>
      <c r="J137" t="s">
        <v>23</v>
      </c>
      <c r="K137" s="4">
        <f>IFERROR(VLOOKUP(D137,Product_Master!$A$2:$F$13,5,FALSE),0)</f>
        <v>3999</v>
      </c>
      <c r="L137" t="str">
        <f>IFERROR(VLOOKUP(D137,Product_Master!$A$2:$F$13,2,FALSE),"")</f>
        <v>Mechanical Keyboard</v>
      </c>
      <c r="M137" t="str">
        <f>IFERROR(VLOOKUP(D137,Product_Master!$A$2:$F$13,3,FALSE),"")</f>
        <v>Accessories</v>
      </c>
      <c r="N137" s="4">
        <f t="shared" si="10"/>
        <v>15996</v>
      </c>
      <c r="O137" s="4">
        <f t="shared" si="11"/>
        <v>799.80000000000007</v>
      </c>
      <c r="P137" s="4">
        <f t="shared" si="12"/>
        <v>15196.2</v>
      </c>
      <c r="Q137" s="4">
        <f>G137*IFERROR(VLOOKUP(D137,Product_Master!$A$2:$F$13,6,FALSE),0)</f>
        <v>9400</v>
      </c>
      <c r="R137" s="4">
        <f t="shared" si="13"/>
        <v>5796.2000000000007</v>
      </c>
      <c r="S137" s="5">
        <f t="shared" si="14"/>
        <v>0.38142430344428213</v>
      </c>
    </row>
    <row r="138" spans="1:19" x14ac:dyDescent="0.3">
      <c r="A138" t="s">
        <v>189</v>
      </c>
      <c r="B138" s="2">
        <v>45996</v>
      </c>
      <c r="C138" t="s">
        <v>76</v>
      </c>
      <c r="D138" t="s">
        <v>41</v>
      </c>
      <c r="E138" t="str">
        <f>IFERROR(VLOOKUP(C138,Customer_Master!$A$2:$E$16,4,FALSE),"")</f>
        <v>West</v>
      </c>
      <c r="F138" t="str">
        <f>IFERROR(VLOOKUP(C138,Customer_Master!$A$2:$E$16,5,FALSE),"")</f>
        <v>Small Business</v>
      </c>
      <c r="G138">
        <v>5</v>
      </c>
      <c r="H138" s="3">
        <v>0</v>
      </c>
      <c r="I138" t="s">
        <v>54</v>
      </c>
      <c r="J138" t="s">
        <v>23</v>
      </c>
      <c r="K138" s="4">
        <f>IFERROR(VLOOKUP(D138,Product_Master!$A$2:$F$13,5,FALSE),0)</f>
        <v>24999</v>
      </c>
      <c r="L138" t="str">
        <f>IFERROR(VLOOKUP(D138,Product_Master!$A$2:$F$13,2,FALSE),"")</f>
        <v>Smartphone Lite</v>
      </c>
      <c r="M138" t="str">
        <f>IFERROR(VLOOKUP(D138,Product_Master!$A$2:$F$13,3,FALSE),"")</f>
        <v>Electronics</v>
      </c>
      <c r="N138" s="4">
        <f t="shared" si="10"/>
        <v>124995</v>
      </c>
      <c r="O138" s="4">
        <f t="shared" si="11"/>
        <v>0</v>
      </c>
      <c r="P138" s="4">
        <f t="shared" si="12"/>
        <v>124995</v>
      </c>
      <c r="Q138" s="4">
        <f>G138*IFERROR(VLOOKUP(D138,Product_Master!$A$2:$F$13,6,FALSE),0)</f>
        <v>92500</v>
      </c>
      <c r="R138" s="4">
        <f t="shared" si="13"/>
        <v>32495</v>
      </c>
      <c r="S138" s="5">
        <f t="shared" si="14"/>
        <v>0.25997039881595263</v>
      </c>
    </row>
    <row r="139" spans="1:19" x14ac:dyDescent="0.3">
      <c r="A139" t="s">
        <v>190</v>
      </c>
      <c r="B139" s="2">
        <v>45825</v>
      </c>
      <c r="C139" t="s">
        <v>74</v>
      </c>
      <c r="D139" t="s">
        <v>52</v>
      </c>
      <c r="E139" t="str">
        <f>IFERROR(VLOOKUP(C139,Customer_Master!$A$2:$E$16,4,FALSE),"")</f>
        <v>East</v>
      </c>
      <c r="F139" t="str">
        <f>IFERROR(VLOOKUP(C139,Customer_Master!$A$2:$E$16,5,FALSE),"")</f>
        <v>Consumer</v>
      </c>
      <c r="G139">
        <v>3</v>
      </c>
      <c r="H139" s="3">
        <v>0.05</v>
      </c>
      <c r="I139" t="s">
        <v>26</v>
      </c>
      <c r="J139" t="s">
        <v>23</v>
      </c>
      <c r="K139" s="4">
        <f>IFERROR(VLOOKUP(D139,Product_Master!$A$2:$F$13,5,FALSE),0)</f>
        <v>6999</v>
      </c>
      <c r="L139" t="str">
        <f>IFERROR(VLOOKUP(D139,Product_Master!$A$2:$F$13,2,FALSE),"")</f>
        <v>Study Desk</v>
      </c>
      <c r="M139" t="str">
        <f>IFERROR(VLOOKUP(D139,Product_Master!$A$2:$F$13,3,FALSE),"")</f>
        <v>Furniture</v>
      </c>
      <c r="N139" s="4">
        <f t="shared" si="10"/>
        <v>20997</v>
      </c>
      <c r="O139" s="4">
        <f t="shared" si="11"/>
        <v>1049.8500000000001</v>
      </c>
      <c r="P139" s="4">
        <f t="shared" si="12"/>
        <v>19947.150000000001</v>
      </c>
      <c r="Q139" s="4">
        <f>G139*IFERROR(VLOOKUP(D139,Product_Master!$A$2:$F$13,6,FALSE),0)</f>
        <v>13500</v>
      </c>
      <c r="R139" s="4">
        <f t="shared" si="13"/>
        <v>6447.1500000000015</v>
      </c>
      <c r="S139" s="5">
        <f t="shared" si="14"/>
        <v>0.32321158661763716</v>
      </c>
    </row>
    <row r="140" spans="1:19" x14ac:dyDescent="0.3">
      <c r="A140" t="s">
        <v>191</v>
      </c>
      <c r="B140" s="2">
        <v>45825</v>
      </c>
      <c r="C140" t="s">
        <v>82</v>
      </c>
      <c r="D140" t="s">
        <v>52</v>
      </c>
      <c r="E140" t="str">
        <f>IFERROR(VLOOKUP(C140,Customer_Master!$A$2:$E$16,4,FALSE),"")</f>
        <v>Central</v>
      </c>
      <c r="F140" t="str">
        <f>IFERROR(VLOOKUP(C140,Customer_Master!$A$2:$E$16,5,FALSE),"")</f>
        <v>Small Business</v>
      </c>
      <c r="G140">
        <v>3</v>
      </c>
      <c r="H140" s="3">
        <v>0</v>
      </c>
      <c r="I140" t="s">
        <v>54</v>
      </c>
      <c r="J140" t="s">
        <v>23</v>
      </c>
      <c r="K140" s="4">
        <f>IFERROR(VLOOKUP(D140,Product_Master!$A$2:$F$13,5,FALSE),0)</f>
        <v>6999</v>
      </c>
      <c r="L140" t="str">
        <f>IFERROR(VLOOKUP(D140,Product_Master!$A$2:$F$13,2,FALSE),"")</f>
        <v>Study Desk</v>
      </c>
      <c r="M140" t="str">
        <f>IFERROR(VLOOKUP(D140,Product_Master!$A$2:$F$13,3,FALSE),"")</f>
        <v>Furniture</v>
      </c>
      <c r="N140" s="4">
        <f t="shared" si="10"/>
        <v>20997</v>
      </c>
      <c r="O140" s="4">
        <f t="shared" si="11"/>
        <v>0</v>
      </c>
      <c r="P140" s="4">
        <f t="shared" si="12"/>
        <v>20997</v>
      </c>
      <c r="Q140" s="4">
        <f>G140*IFERROR(VLOOKUP(D140,Product_Master!$A$2:$F$13,6,FALSE),0)</f>
        <v>13500</v>
      </c>
      <c r="R140" s="4">
        <f t="shared" si="13"/>
        <v>7497</v>
      </c>
      <c r="S140" s="5">
        <f t="shared" si="14"/>
        <v>0.35705100728675526</v>
      </c>
    </row>
    <row r="141" spans="1:19" x14ac:dyDescent="0.3">
      <c r="A141" t="s">
        <v>192</v>
      </c>
      <c r="B141" s="2">
        <v>46009</v>
      </c>
      <c r="C141" t="s">
        <v>37</v>
      </c>
      <c r="D141" t="s">
        <v>70</v>
      </c>
      <c r="E141" t="str">
        <f>IFERROR(VLOOKUP(C141,Customer_Master!$A$2:$E$16,4,FALSE),"")</f>
        <v>North</v>
      </c>
      <c r="F141" t="str">
        <f>IFERROR(VLOOKUP(C141,Customer_Master!$A$2:$E$16,5,FALSE),"")</f>
        <v>Consumer</v>
      </c>
      <c r="G141">
        <v>3</v>
      </c>
      <c r="H141" s="3">
        <v>0.1</v>
      </c>
      <c r="I141" t="s">
        <v>22</v>
      </c>
      <c r="J141" t="s">
        <v>23</v>
      </c>
      <c r="K141" s="4">
        <f>IFERROR(VLOOKUP(D141,Product_Master!$A$2:$F$13,5,FALSE),0)</f>
        <v>2499</v>
      </c>
      <c r="L141" t="str">
        <f>IFERROR(VLOOKUP(D141,Product_Master!$A$2:$F$13,2,FALSE),"")</f>
        <v>USB-C Hub</v>
      </c>
      <c r="M141" t="str">
        <f>IFERROR(VLOOKUP(D141,Product_Master!$A$2:$F$13,3,FALSE),"")</f>
        <v>Accessories</v>
      </c>
      <c r="N141" s="4">
        <f t="shared" si="10"/>
        <v>7497</v>
      </c>
      <c r="O141" s="4">
        <f t="shared" si="11"/>
        <v>749.7</v>
      </c>
      <c r="P141" s="4">
        <f t="shared" si="12"/>
        <v>6747.3</v>
      </c>
      <c r="Q141" s="4">
        <f>G141*IFERROR(VLOOKUP(D141,Product_Master!$A$2:$F$13,6,FALSE),0)</f>
        <v>4350</v>
      </c>
      <c r="R141" s="4">
        <f t="shared" si="13"/>
        <v>2397.3000000000002</v>
      </c>
      <c r="S141" s="5">
        <f t="shared" si="14"/>
        <v>0.35529767462540573</v>
      </c>
    </row>
    <row r="142" spans="1:19" x14ac:dyDescent="0.3">
      <c r="A142" t="s">
        <v>193</v>
      </c>
      <c r="B142" s="2">
        <v>45771</v>
      </c>
      <c r="C142" t="s">
        <v>20</v>
      </c>
      <c r="D142" t="s">
        <v>92</v>
      </c>
      <c r="E142" t="str">
        <f>IFERROR(VLOOKUP(C142,Customer_Master!$A$2:$E$16,4,FALSE),"")</f>
        <v>South</v>
      </c>
      <c r="F142" t="str">
        <f>IFERROR(VLOOKUP(C142,Customer_Master!$A$2:$E$16,5,FALSE),"")</f>
        <v>Small Business</v>
      </c>
      <c r="G142">
        <v>4</v>
      </c>
      <c r="H142" s="3">
        <v>0.15</v>
      </c>
      <c r="I142" t="s">
        <v>26</v>
      </c>
      <c r="J142" t="s">
        <v>23</v>
      </c>
      <c r="K142" s="4">
        <f>IFERROR(VLOOKUP(D142,Product_Master!$A$2:$F$13,5,FALSE),0)</f>
        <v>4999</v>
      </c>
      <c r="L142" t="str">
        <f>IFERROR(VLOOKUP(D142,Product_Master!$A$2:$F$13,2,FALSE),"")</f>
        <v>Wireless Headphones</v>
      </c>
      <c r="M142" t="str">
        <f>IFERROR(VLOOKUP(D142,Product_Master!$A$2:$F$13,3,FALSE),"")</f>
        <v>Electronics</v>
      </c>
      <c r="N142" s="4">
        <f t="shared" si="10"/>
        <v>19996</v>
      </c>
      <c r="O142" s="4">
        <f t="shared" si="11"/>
        <v>2999.4</v>
      </c>
      <c r="P142" s="4">
        <f t="shared" si="12"/>
        <v>16996.599999999999</v>
      </c>
      <c r="Q142" s="4">
        <f>G142*IFERROR(VLOOKUP(D142,Product_Master!$A$2:$F$13,6,FALSE),0)</f>
        <v>11600</v>
      </c>
      <c r="R142" s="4">
        <f t="shared" si="13"/>
        <v>5396.5999999999985</v>
      </c>
      <c r="S142" s="5">
        <f t="shared" si="14"/>
        <v>0.3175105609357165</v>
      </c>
    </row>
    <row r="143" spans="1:19" x14ac:dyDescent="0.3">
      <c r="A143" t="s">
        <v>194</v>
      </c>
      <c r="B143" s="2">
        <v>45670</v>
      </c>
      <c r="C143" t="s">
        <v>45</v>
      </c>
      <c r="D143" t="s">
        <v>92</v>
      </c>
      <c r="E143" t="str">
        <f>IFERROR(VLOOKUP(C143,Customer_Master!$A$2:$E$16,4,FALSE),"")</f>
        <v>North</v>
      </c>
      <c r="F143" t="str">
        <f>IFERROR(VLOOKUP(C143,Customer_Master!$A$2:$E$16,5,FALSE),"")</f>
        <v>Consumer</v>
      </c>
      <c r="G143">
        <v>3</v>
      </c>
      <c r="H143" s="3">
        <v>0.1</v>
      </c>
      <c r="I143" t="s">
        <v>22</v>
      </c>
      <c r="J143" t="s">
        <v>23</v>
      </c>
      <c r="K143" s="4">
        <f>IFERROR(VLOOKUP(D143,Product_Master!$A$2:$F$13,5,FALSE),0)</f>
        <v>4999</v>
      </c>
      <c r="L143" t="str">
        <f>IFERROR(VLOOKUP(D143,Product_Master!$A$2:$F$13,2,FALSE),"")</f>
        <v>Wireless Headphones</v>
      </c>
      <c r="M143" t="str">
        <f>IFERROR(VLOOKUP(D143,Product_Master!$A$2:$F$13,3,FALSE),"")</f>
        <v>Electronics</v>
      </c>
      <c r="N143" s="4">
        <f t="shared" si="10"/>
        <v>14997</v>
      </c>
      <c r="O143" s="4">
        <f t="shared" si="11"/>
        <v>1499.7</v>
      </c>
      <c r="P143" s="4">
        <f t="shared" si="12"/>
        <v>13497.3</v>
      </c>
      <c r="Q143" s="4">
        <f>G143*IFERROR(VLOOKUP(D143,Product_Master!$A$2:$F$13,6,FALSE),0)</f>
        <v>8700</v>
      </c>
      <c r="R143" s="4">
        <f t="shared" si="13"/>
        <v>4797.2999999999993</v>
      </c>
      <c r="S143" s="5">
        <f t="shared" si="14"/>
        <v>0.35542664088373227</v>
      </c>
    </row>
    <row r="144" spans="1:19" x14ac:dyDescent="0.3">
      <c r="A144" t="s">
        <v>195</v>
      </c>
      <c r="B144" s="2">
        <v>45946</v>
      </c>
      <c r="C144" t="s">
        <v>47</v>
      </c>
      <c r="D144" t="s">
        <v>41</v>
      </c>
      <c r="E144" t="str">
        <f>IFERROR(VLOOKUP(C144,Customer_Master!$A$2:$E$16,4,FALSE),"")</f>
        <v>West</v>
      </c>
      <c r="F144" t="str">
        <f>IFERROR(VLOOKUP(C144,Customer_Master!$A$2:$E$16,5,FALSE),"")</f>
        <v>Corporate</v>
      </c>
      <c r="G144">
        <v>3</v>
      </c>
      <c r="H144" s="3">
        <v>0.1</v>
      </c>
      <c r="I144" t="s">
        <v>22</v>
      </c>
      <c r="J144" t="s">
        <v>23</v>
      </c>
      <c r="K144" s="4">
        <f>IFERROR(VLOOKUP(D144,Product_Master!$A$2:$F$13,5,FALSE),0)</f>
        <v>24999</v>
      </c>
      <c r="L144" t="str">
        <f>IFERROR(VLOOKUP(D144,Product_Master!$A$2:$F$13,2,FALSE),"")</f>
        <v>Smartphone Lite</v>
      </c>
      <c r="M144" t="str">
        <f>IFERROR(VLOOKUP(D144,Product_Master!$A$2:$F$13,3,FALSE),"")</f>
        <v>Electronics</v>
      </c>
      <c r="N144" s="4">
        <f t="shared" si="10"/>
        <v>74997</v>
      </c>
      <c r="O144" s="4">
        <f t="shared" si="11"/>
        <v>7499.7000000000007</v>
      </c>
      <c r="P144" s="4">
        <f t="shared" si="12"/>
        <v>67497.3</v>
      </c>
      <c r="Q144" s="4">
        <f>G144*IFERROR(VLOOKUP(D144,Product_Master!$A$2:$F$13,6,FALSE),0)</f>
        <v>55500</v>
      </c>
      <c r="R144" s="4">
        <f t="shared" si="13"/>
        <v>11997.300000000003</v>
      </c>
      <c r="S144" s="5">
        <f t="shared" si="14"/>
        <v>0.17774488757328075</v>
      </c>
    </row>
    <row r="145" spans="1:19" x14ac:dyDescent="0.3">
      <c r="A145" t="s">
        <v>196</v>
      </c>
      <c r="B145" s="2">
        <v>45946</v>
      </c>
      <c r="C145" t="s">
        <v>65</v>
      </c>
      <c r="D145" t="s">
        <v>70</v>
      </c>
      <c r="E145" t="str">
        <f>IFERROR(VLOOKUP(C145,Customer_Master!$A$2:$E$16,4,FALSE),"")</f>
        <v>Central</v>
      </c>
      <c r="F145" t="str">
        <f>IFERROR(VLOOKUP(C145,Customer_Master!$A$2:$E$16,5,FALSE),"")</f>
        <v>Consumer</v>
      </c>
      <c r="G145">
        <v>2</v>
      </c>
      <c r="H145" s="3">
        <v>0.05</v>
      </c>
      <c r="I145" t="s">
        <v>29</v>
      </c>
      <c r="J145" t="s">
        <v>23</v>
      </c>
      <c r="K145" s="4">
        <f>IFERROR(VLOOKUP(D145,Product_Master!$A$2:$F$13,5,FALSE),0)</f>
        <v>2499</v>
      </c>
      <c r="L145" t="str">
        <f>IFERROR(VLOOKUP(D145,Product_Master!$A$2:$F$13,2,FALSE),"")</f>
        <v>USB-C Hub</v>
      </c>
      <c r="M145" t="str">
        <f>IFERROR(VLOOKUP(D145,Product_Master!$A$2:$F$13,3,FALSE),"")</f>
        <v>Accessories</v>
      </c>
      <c r="N145" s="4">
        <f t="shared" si="10"/>
        <v>4998</v>
      </c>
      <c r="O145" s="4">
        <f t="shared" si="11"/>
        <v>249.9</v>
      </c>
      <c r="P145" s="4">
        <f t="shared" si="12"/>
        <v>4748.1000000000004</v>
      </c>
      <c r="Q145" s="4">
        <f>G145*IFERROR(VLOOKUP(D145,Product_Master!$A$2:$F$13,6,FALSE),0)</f>
        <v>2900</v>
      </c>
      <c r="R145" s="4">
        <f t="shared" si="13"/>
        <v>1848.1000000000004</v>
      </c>
      <c r="S145" s="5">
        <f t="shared" si="14"/>
        <v>0.38922937596091073</v>
      </c>
    </row>
    <row r="146" spans="1:19" x14ac:dyDescent="0.3">
      <c r="A146" t="s">
        <v>197</v>
      </c>
      <c r="B146" s="2">
        <v>45669</v>
      </c>
      <c r="C146" t="s">
        <v>87</v>
      </c>
      <c r="D146" t="s">
        <v>28</v>
      </c>
      <c r="E146" t="str">
        <f>IFERROR(VLOOKUP(C146,Customer_Master!$A$2:$E$16,4,FALSE),"")</f>
        <v>East</v>
      </c>
      <c r="F146" t="str">
        <f>IFERROR(VLOOKUP(C146,Customer_Master!$A$2:$E$16,5,FALSE),"")</f>
        <v>Small Business</v>
      </c>
      <c r="G146">
        <v>2</v>
      </c>
      <c r="H146" s="3">
        <v>0.15</v>
      </c>
      <c r="I146" t="s">
        <v>29</v>
      </c>
      <c r="J146" t="s">
        <v>30</v>
      </c>
      <c r="K146" s="4">
        <f>IFERROR(VLOOKUP(D146,Product_Master!$A$2:$F$13,5,FALSE),0)</f>
        <v>28999</v>
      </c>
      <c r="L146" t="str">
        <f>IFERROR(VLOOKUP(D146,Product_Master!$A$2:$F$13,2,FALSE),"")</f>
        <v>Tablet Plus</v>
      </c>
      <c r="M146" t="str">
        <f>IFERROR(VLOOKUP(D146,Product_Master!$A$2:$F$13,3,FALSE),"")</f>
        <v>Electronics</v>
      </c>
      <c r="N146" s="4">
        <f t="shared" si="10"/>
        <v>57998</v>
      </c>
      <c r="O146" s="4">
        <f t="shared" si="11"/>
        <v>8699.6999999999989</v>
      </c>
      <c r="P146" s="4">
        <f t="shared" si="12"/>
        <v>49298.3</v>
      </c>
      <c r="Q146" s="4">
        <f>G146*IFERROR(VLOOKUP(D146,Product_Master!$A$2:$F$13,6,FALSE),0)</f>
        <v>43000</v>
      </c>
      <c r="R146" s="4">
        <f t="shared" si="13"/>
        <v>6298.3000000000029</v>
      </c>
      <c r="S146" s="5">
        <f t="shared" si="14"/>
        <v>0.12775896937622599</v>
      </c>
    </row>
    <row r="147" spans="1:19" x14ac:dyDescent="0.3">
      <c r="A147" t="s">
        <v>198</v>
      </c>
      <c r="B147" s="2">
        <v>45809</v>
      </c>
      <c r="C147" t="s">
        <v>25</v>
      </c>
      <c r="D147" t="s">
        <v>70</v>
      </c>
      <c r="E147" t="str">
        <f>IFERROR(VLOOKUP(C147,Customer_Master!$A$2:$E$16,4,FALSE),"")</f>
        <v>South</v>
      </c>
      <c r="F147" t="str">
        <f>IFERROR(VLOOKUP(C147,Customer_Master!$A$2:$E$16,5,FALSE),"")</f>
        <v>Corporate</v>
      </c>
      <c r="G147">
        <v>1</v>
      </c>
      <c r="H147" s="3">
        <v>0.1</v>
      </c>
      <c r="I147" t="s">
        <v>29</v>
      </c>
      <c r="J147" t="s">
        <v>30</v>
      </c>
      <c r="K147" s="4">
        <f>IFERROR(VLOOKUP(D147,Product_Master!$A$2:$F$13,5,FALSE),0)</f>
        <v>2499</v>
      </c>
      <c r="L147" t="str">
        <f>IFERROR(VLOOKUP(D147,Product_Master!$A$2:$F$13,2,FALSE),"")</f>
        <v>USB-C Hub</v>
      </c>
      <c r="M147" t="str">
        <f>IFERROR(VLOOKUP(D147,Product_Master!$A$2:$F$13,3,FALSE),"")</f>
        <v>Accessories</v>
      </c>
      <c r="N147" s="4">
        <f t="shared" si="10"/>
        <v>2499</v>
      </c>
      <c r="O147" s="4">
        <f t="shared" si="11"/>
        <v>249.9</v>
      </c>
      <c r="P147" s="4">
        <f t="shared" si="12"/>
        <v>2249.1</v>
      </c>
      <c r="Q147" s="4">
        <f>G147*IFERROR(VLOOKUP(D147,Product_Master!$A$2:$F$13,6,FALSE),0)</f>
        <v>1450</v>
      </c>
      <c r="R147" s="4">
        <f t="shared" si="13"/>
        <v>799.09999999999991</v>
      </c>
      <c r="S147" s="5">
        <f t="shared" si="14"/>
        <v>0.35529767462540568</v>
      </c>
    </row>
    <row r="148" spans="1:19" x14ac:dyDescent="0.3">
      <c r="A148" t="s">
        <v>199</v>
      </c>
      <c r="B148" s="2">
        <v>45937</v>
      </c>
      <c r="C148" t="s">
        <v>40</v>
      </c>
      <c r="D148" t="s">
        <v>28</v>
      </c>
      <c r="E148" t="str">
        <f>IFERROR(VLOOKUP(C148,Customer_Master!$A$2:$E$16,4,FALSE),"")</f>
        <v>West</v>
      </c>
      <c r="F148" t="str">
        <f>IFERROR(VLOOKUP(C148,Customer_Master!$A$2:$E$16,5,FALSE),"")</f>
        <v>Corporate</v>
      </c>
      <c r="G148">
        <v>1</v>
      </c>
      <c r="H148" s="3">
        <v>0.05</v>
      </c>
      <c r="I148" t="s">
        <v>29</v>
      </c>
      <c r="J148" t="s">
        <v>23</v>
      </c>
      <c r="K148" s="4">
        <f>IFERROR(VLOOKUP(D148,Product_Master!$A$2:$F$13,5,FALSE),0)</f>
        <v>28999</v>
      </c>
      <c r="L148" t="str">
        <f>IFERROR(VLOOKUP(D148,Product_Master!$A$2:$F$13,2,FALSE),"")</f>
        <v>Tablet Plus</v>
      </c>
      <c r="M148" t="str">
        <f>IFERROR(VLOOKUP(D148,Product_Master!$A$2:$F$13,3,FALSE),"")</f>
        <v>Electronics</v>
      </c>
      <c r="N148" s="4">
        <f t="shared" si="10"/>
        <v>28999</v>
      </c>
      <c r="O148" s="4">
        <f t="shared" si="11"/>
        <v>1449.95</v>
      </c>
      <c r="P148" s="4">
        <f t="shared" si="12"/>
        <v>27549.05</v>
      </c>
      <c r="Q148" s="4">
        <f>G148*IFERROR(VLOOKUP(D148,Product_Master!$A$2:$F$13,6,FALSE),0)</f>
        <v>21500</v>
      </c>
      <c r="R148" s="4">
        <f t="shared" si="13"/>
        <v>6049.0499999999993</v>
      </c>
      <c r="S148" s="5">
        <f t="shared" si="14"/>
        <v>0.21957381470504425</v>
      </c>
    </row>
    <row r="149" spans="1:19" x14ac:dyDescent="0.3">
      <c r="A149" t="s">
        <v>200</v>
      </c>
      <c r="B149" s="2">
        <v>45818</v>
      </c>
      <c r="C149" t="s">
        <v>74</v>
      </c>
      <c r="D149" t="s">
        <v>48</v>
      </c>
      <c r="E149" t="str">
        <f>IFERROR(VLOOKUP(C149,Customer_Master!$A$2:$E$16,4,FALSE),"")</f>
        <v>East</v>
      </c>
      <c r="F149" t="str">
        <f>IFERROR(VLOOKUP(C149,Customer_Master!$A$2:$E$16,5,FALSE),"")</f>
        <v>Consumer</v>
      </c>
      <c r="G149">
        <v>1</v>
      </c>
      <c r="H149" s="3">
        <v>0</v>
      </c>
      <c r="I149" t="s">
        <v>26</v>
      </c>
      <c r="J149" t="s">
        <v>23</v>
      </c>
      <c r="K149" s="4">
        <f>IFERROR(VLOOKUP(D149,Product_Master!$A$2:$F$13,5,FALSE),0)</f>
        <v>62999</v>
      </c>
      <c r="L149" t="str">
        <f>IFERROR(VLOOKUP(D149,Product_Master!$A$2:$F$13,2,FALSE),"")</f>
        <v>Laptop Air 13</v>
      </c>
      <c r="M149" t="str">
        <f>IFERROR(VLOOKUP(D149,Product_Master!$A$2:$F$13,3,FALSE),"")</f>
        <v>Electronics</v>
      </c>
      <c r="N149" s="4">
        <f t="shared" si="10"/>
        <v>62999</v>
      </c>
      <c r="O149" s="4">
        <f t="shared" si="11"/>
        <v>0</v>
      </c>
      <c r="P149" s="4">
        <f t="shared" si="12"/>
        <v>62999</v>
      </c>
      <c r="Q149" s="4">
        <f>G149*IFERROR(VLOOKUP(D149,Product_Master!$A$2:$F$13,6,FALSE),0)</f>
        <v>49000</v>
      </c>
      <c r="R149" s="4">
        <f t="shared" si="13"/>
        <v>13999</v>
      </c>
      <c r="S149" s="5">
        <f t="shared" si="14"/>
        <v>0.2222098763472436</v>
      </c>
    </row>
    <row r="150" spans="1:19" x14ac:dyDescent="0.3">
      <c r="A150" t="s">
        <v>201</v>
      </c>
      <c r="B150" s="2">
        <v>45874</v>
      </c>
      <c r="C150" t="s">
        <v>74</v>
      </c>
      <c r="D150" t="s">
        <v>43</v>
      </c>
      <c r="E150" t="str">
        <f>IFERROR(VLOOKUP(C150,Customer_Master!$A$2:$E$16,4,FALSE),"")</f>
        <v>East</v>
      </c>
      <c r="F150" t="str">
        <f>IFERROR(VLOOKUP(C150,Customer_Master!$A$2:$E$16,5,FALSE),"")</f>
        <v>Consumer</v>
      </c>
      <c r="G150">
        <v>2</v>
      </c>
      <c r="H150" s="3">
        <v>0.05</v>
      </c>
      <c r="I150" t="s">
        <v>49</v>
      </c>
      <c r="J150" t="s">
        <v>30</v>
      </c>
      <c r="K150" s="4">
        <f>IFERROR(VLOOKUP(D150,Product_Master!$A$2:$F$13,5,FALSE),0)</f>
        <v>8999</v>
      </c>
      <c r="L150" t="str">
        <f>IFERROR(VLOOKUP(D150,Product_Master!$A$2:$F$13,2,FALSE),"")</f>
        <v>Office Chair</v>
      </c>
      <c r="M150" t="str">
        <f>IFERROR(VLOOKUP(D150,Product_Master!$A$2:$F$13,3,FALSE),"")</f>
        <v>Furniture</v>
      </c>
      <c r="N150" s="4">
        <f t="shared" si="10"/>
        <v>17998</v>
      </c>
      <c r="O150" s="4">
        <f t="shared" si="11"/>
        <v>899.90000000000009</v>
      </c>
      <c r="P150" s="4">
        <f t="shared" si="12"/>
        <v>17098.099999999999</v>
      </c>
      <c r="Q150" s="4">
        <f>G150*IFERROR(VLOOKUP(D150,Product_Master!$A$2:$F$13,6,FALSE),0)</f>
        <v>12200</v>
      </c>
      <c r="R150" s="4">
        <f t="shared" si="13"/>
        <v>4898.0999999999985</v>
      </c>
      <c r="S150" s="5">
        <f t="shared" si="14"/>
        <v>0.2864704265386212</v>
      </c>
    </row>
    <row r="151" spans="1:19" x14ac:dyDescent="0.3">
      <c r="A151" t="s">
        <v>202</v>
      </c>
      <c r="B151" s="2">
        <v>45859</v>
      </c>
      <c r="C151" t="s">
        <v>45</v>
      </c>
      <c r="D151" t="s">
        <v>33</v>
      </c>
      <c r="E151" t="str">
        <f>IFERROR(VLOOKUP(C151,Customer_Master!$A$2:$E$16,4,FALSE),"")</f>
        <v>North</v>
      </c>
      <c r="F151" t="str">
        <f>IFERROR(VLOOKUP(C151,Customer_Master!$A$2:$E$16,5,FALSE),"")</f>
        <v>Consumer</v>
      </c>
      <c r="G151">
        <v>3</v>
      </c>
      <c r="H151" s="3">
        <v>0.05</v>
      </c>
      <c r="I151" t="s">
        <v>54</v>
      </c>
      <c r="J151" t="s">
        <v>23</v>
      </c>
      <c r="K151" s="4">
        <f>IFERROR(VLOOKUP(D151,Product_Master!$A$2:$F$13,5,FALSE),0)</f>
        <v>3999</v>
      </c>
      <c r="L151" t="str">
        <f>IFERROR(VLOOKUP(D151,Product_Master!$A$2:$F$13,2,FALSE),"")</f>
        <v>Mechanical Keyboard</v>
      </c>
      <c r="M151" t="str">
        <f>IFERROR(VLOOKUP(D151,Product_Master!$A$2:$F$13,3,FALSE),"")</f>
        <v>Accessories</v>
      </c>
      <c r="N151" s="4">
        <f t="shared" si="10"/>
        <v>11997</v>
      </c>
      <c r="O151" s="4">
        <f t="shared" si="11"/>
        <v>599.85</v>
      </c>
      <c r="P151" s="4">
        <f t="shared" si="12"/>
        <v>11397.15</v>
      </c>
      <c r="Q151" s="4">
        <f>G151*IFERROR(VLOOKUP(D151,Product_Master!$A$2:$F$13,6,FALSE),0)</f>
        <v>7050</v>
      </c>
      <c r="R151" s="4">
        <f t="shared" si="13"/>
        <v>4347.1499999999996</v>
      </c>
      <c r="S151" s="5">
        <f t="shared" si="14"/>
        <v>0.38142430344428213</v>
      </c>
    </row>
    <row r="152" spans="1:19" x14ac:dyDescent="0.3">
      <c r="A152" t="s">
        <v>203</v>
      </c>
      <c r="B152" s="2">
        <v>45933</v>
      </c>
      <c r="C152" t="s">
        <v>20</v>
      </c>
      <c r="D152" t="s">
        <v>33</v>
      </c>
      <c r="E152" t="str">
        <f>IFERROR(VLOOKUP(C152,Customer_Master!$A$2:$E$16,4,FALSE),"")</f>
        <v>South</v>
      </c>
      <c r="F152" t="str">
        <f>IFERROR(VLOOKUP(C152,Customer_Master!$A$2:$E$16,5,FALSE),"")</f>
        <v>Small Business</v>
      </c>
      <c r="G152">
        <v>6</v>
      </c>
      <c r="H152" s="3">
        <v>0</v>
      </c>
      <c r="I152" t="s">
        <v>22</v>
      </c>
      <c r="J152" t="s">
        <v>23</v>
      </c>
      <c r="K152" s="4">
        <f>IFERROR(VLOOKUP(D152,Product_Master!$A$2:$F$13,5,FALSE),0)</f>
        <v>3999</v>
      </c>
      <c r="L152" t="str">
        <f>IFERROR(VLOOKUP(D152,Product_Master!$A$2:$F$13,2,FALSE),"")</f>
        <v>Mechanical Keyboard</v>
      </c>
      <c r="M152" t="str">
        <f>IFERROR(VLOOKUP(D152,Product_Master!$A$2:$F$13,3,FALSE),"")</f>
        <v>Accessories</v>
      </c>
      <c r="N152" s="4">
        <f t="shared" si="10"/>
        <v>23994</v>
      </c>
      <c r="O152" s="4">
        <f t="shared" si="11"/>
        <v>0</v>
      </c>
      <c r="P152" s="4">
        <f t="shared" si="12"/>
        <v>23994</v>
      </c>
      <c r="Q152" s="4">
        <f>G152*IFERROR(VLOOKUP(D152,Product_Master!$A$2:$F$13,6,FALSE),0)</f>
        <v>14100</v>
      </c>
      <c r="R152" s="4">
        <f t="shared" si="13"/>
        <v>9894</v>
      </c>
      <c r="S152" s="5">
        <f t="shared" si="14"/>
        <v>0.41235308827206801</v>
      </c>
    </row>
    <row r="153" spans="1:19" x14ac:dyDescent="0.3">
      <c r="A153" t="s">
        <v>204</v>
      </c>
      <c r="B153" s="2">
        <v>45836</v>
      </c>
      <c r="C153" t="s">
        <v>32</v>
      </c>
      <c r="D153" t="s">
        <v>43</v>
      </c>
      <c r="E153" t="str">
        <f>IFERROR(VLOOKUP(C153,Customer_Master!$A$2:$E$16,4,FALSE),"")</f>
        <v>East</v>
      </c>
      <c r="F153" t="str">
        <f>IFERROR(VLOOKUP(C153,Customer_Master!$A$2:$E$16,5,FALSE),"")</f>
        <v>Corporate</v>
      </c>
      <c r="G153">
        <v>1</v>
      </c>
      <c r="H153" s="3">
        <v>0.1</v>
      </c>
      <c r="I153" t="s">
        <v>29</v>
      </c>
      <c r="J153" t="s">
        <v>23</v>
      </c>
      <c r="K153" s="4">
        <f>IFERROR(VLOOKUP(D153,Product_Master!$A$2:$F$13,5,FALSE),0)</f>
        <v>8999</v>
      </c>
      <c r="L153" t="str">
        <f>IFERROR(VLOOKUP(D153,Product_Master!$A$2:$F$13,2,FALSE),"")</f>
        <v>Office Chair</v>
      </c>
      <c r="M153" t="str">
        <f>IFERROR(VLOOKUP(D153,Product_Master!$A$2:$F$13,3,FALSE),"")</f>
        <v>Furniture</v>
      </c>
      <c r="N153" s="4">
        <f t="shared" si="10"/>
        <v>8999</v>
      </c>
      <c r="O153" s="4">
        <f t="shared" si="11"/>
        <v>899.90000000000009</v>
      </c>
      <c r="P153" s="4">
        <f t="shared" si="12"/>
        <v>8099.1</v>
      </c>
      <c r="Q153" s="4">
        <f>G153*IFERROR(VLOOKUP(D153,Product_Master!$A$2:$F$13,6,FALSE),0)</f>
        <v>6100</v>
      </c>
      <c r="R153" s="4">
        <f t="shared" si="13"/>
        <v>1999.1000000000004</v>
      </c>
      <c r="S153" s="5">
        <f t="shared" si="14"/>
        <v>0.2468298946796558</v>
      </c>
    </row>
    <row r="154" spans="1:19" x14ac:dyDescent="0.3">
      <c r="A154" t="s">
        <v>205</v>
      </c>
      <c r="B154" s="2">
        <v>45670</v>
      </c>
      <c r="C154" t="s">
        <v>40</v>
      </c>
      <c r="D154" t="s">
        <v>43</v>
      </c>
      <c r="E154" t="str">
        <f>IFERROR(VLOOKUP(C154,Customer_Master!$A$2:$E$16,4,FALSE),"")</f>
        <v>West</v>
      </c>
      <c r="F154" t="str">
        <f>IFERROR(VLOOKUP(C154,Customer_Master!$A$2:$E$16,5,FALSE),"")</f>
        <v>Corporate</v>
      </c>
      <c r="G154">
        <v>5</v>
      </c>
      <c r="H154" s="3">
        <v>0.05</v>
      </c>
      <c r="I154" t="s">
        <v>29</v>
      </c>
      <c r="J154" t="s">
        <v>23</v>
      </c>
      <c r="K154" s="4">
        <f>IFERROR(VLOOKUP(D154,Product_Master!$A$2:$F$13,5,FALSE),0)</f>
        <v>8999</v>
      </c>
      <c r="L154" t="str">
        <f>IFERROR(VLOOKUP(D154,Product_Master!$A$2:$F$13,2,FALSE),"")</f>
        <v>Office Chair</v>
      </c>
      <c r="M154" t="str">
        <f>IFERROR(VLOOKUP(D154,Product_Master!$A$2:$F$13,3,FALSE),"")</f>
        <v>Furniture</v>
      </c>
      <c r="N154" s="4">
        <f t="shared" si="10"/>
        <v>44995</v>
      </c>
      <c r="O154" s="4">
        <f t="shared" si="11"/>
        <v>2249.75</v>
      </c>
      <c r="P154" s="4">
        <f t="shared" si="12"/>
        <v>42745.25</v>
      </c>
      <c r="Q154" s="4">
        <f>G154*IFERROR(VLOOKUP(D154,Product_Master!$A$2:$F$13,6,FALSE),0)</f>
        <v>30500</v>
      </c>
      <c r="R154" s="4">
        <f t="shared" si="13"/>
        <v>12245.25</v>
      </c>
      <c r="S154" s="5">
        <f t="shared" si="14"/>
        <v>0.28647042653862126</v>
      </c>
    </row>
    <row r="155" spans="1:19" x14ac:dyDescent="0.3">
      <c r="A155" t="s">
        <v>206</v>
      </c>
      <c r="B155" s="2">
        <v>45732</v>
      </c>
      <c r="C155" t="s">
        <v>32</v>
      </c>
      <c r="D155" t="s">
        <v>56</v>
      </c>
      <c r="E155" t="str">
        <f>IFERROR(VLOOKUP(C155,Customer_Master!$A$2:$E$16,4,FALSE),"")</f>
        <v>East</v>
      </c>
      <c r="F155" t="str">
        <f>IFERROR(VLOOKUP(C155,Customer_Master!$A$2:$E$16,5,FALSE),"")</f>
        <v>Corporate</v>
      </c>
      <c r="G155">
        <v>2</v>
      </c>
      <c r="H155" s="3">
        <v>0.05</v>
      </c>
      <c r="I155" t="s">
        <v>49</v>
      </c>
      <c r="J155" t="s">
        <v>23</v>
      </c>
      <c r="K155" s="4">
        <f>IFERROR(VLOOKUP(D155,Product_Master!$A$2:$F$13,5,FALSE),0)</f>
        <v>3499</v>
      </c>
      <c r="L155" t="str">
        <f>IFERROR(VLOOKUP(D155,Product_Master!$A$2:$F$13,2,FALSE),"")</f>
        <v>Bluetooth Speaker</v>
      </c>
      <c r="M155" t="str">
        <f>IFERROR(VLOOKUP(D155,Product_Master!$A$2:$F$13,3,FALSE),"")</f>
        <v>Electronics</v>
      </c>
      <c r="N155" s="4">
        <f t="shared" si="10"/>
        <v>6998</v>
      </c>
      <c r="O155" s="4">
        <f t="shared" si="11"/>
        <v>349.90000000000003</v>
      </c>
      <c r="P155" s="4">
        <f t="shared" si="12"/>
        <v>6648.1</v>
      </c>
      <c r="Q155" s="4">
        <f>G155*IFERROR(VLOOKUP(D155,Product_Master!$A$2:$F$13,6,FALSE),0)</f>
        <v>4100</v>
      </c>
      <c r="R155" s="4">
        <f t="shared" si="13"/>
        <v>2548.1000000000004</v>
      </c>
      <c r="S155" s="5">
        <f t="shared" si="14"/>
        <v>0.38328244159985564</v>
      </c>
    </row>
    <row r="156" spans="1:19" x14ac:dyDescent="0.3">
      <c r="A156" t="s">
        <v>207</v>
      </c>
      <c r="B156" s="2">
        <v>45857</v>
      </c>
      <c r="C156" t="s">
        <v>45</v>
      </c>
      <c r="D156" t="s">
        <v>41</v>
      </c>
      <c r="E156" t="str">
        <f>IFERROR(VLOOKUP(C156,Customer_Master!$A$2:$E$16,4,FALSE),"")</f>
        <v>North</v>
      </c>
      <c r="F156" t="str">
        <f>IFERROR(VLOOKUP(C156,Customer_Master!$A$2:$E$16,5,FALSE),"")</f>
        <v>Consumer</v>
      </c>
      <c r="G156">
        <v>4</v>
      </c>
      <c r="H156" s="3">
        <v>0.15</v>
      </c>
      <c r="I156" t="s">
        <v>54</v>
      </c>
      <c r="J156" t="s">
        <v>23</v>
      </c>
      <c r="K156" s="4">
        <f>IFERROR(VLOOKUP(D156,Product_Master!$A$2:$F$13,5,FALSE),0)</f>
        <v>24999</v>
      </c>
      <c r="L156" t="str">
        <f>IFERROR(VLOOKUP(D156,Product_Master!$A$2:$F$13,2,FALSE),"")</f>
        <v>Smartphone Lite</v>
      </c>
      <c r="M156" t="str">
        <f>IFERROR(VLOOKUP(D156,Product_Master!$A$2:$F$13,3,FALSE),"")</f>
        <v>Electronics</v>
      </c>
      <c r="N156" s="4">
        <f t="shared" si="10"/>
        <v>99996</v>
      </c>
      <c r="O156" s="4">
        <f t="shared" si="11"/>
        <v>14999.4</v>
      </c>
      <c r="P156" s="4">
        <f t="shared" si="12"/>
        <v>84996.6</v>
      </c>
      <c r="Q156" s="4">
        <f>G156*IFERROR(VLOOKUP(D156,Product_Master!$A$2:$F$13,6,FALSE),0)</f>
        <v>74000</v>
      </c>
      <c r="R156" s="4">
        <f t="shared" si="13"/>
        <v>10996.600000000006</v>
      </c>
      <c r="S156" s="5">
        <f t="shared" si="14"/>
        <v>0.12937693978347375</v>
      </c>
    </row>
    <row r="157" spans="1:19" x14ac:dyDescent="0.3">
      <c r="A157" t="s">
        <v>208</v>
      </c>
      <c r="B157" s="2">
        <v>45899</v>
      </c>
      <c r="C157" t="s">
        <v>87</v>
      </c>
      <c r="D157" t="s">
        <v>38</v>
      </c>
      <c r="E157" t="str">
        <f>IFERROR(VLOOKUP(C157,Customer_Master!$A$2:$E$16,4,FALSE),"")</f>
        <v>East</v>
      </c>
      <c r="F157" t="str">
        <f>IFERROR(VLOOKUP(C157,Customer_Master!$A$2:$E$16,5,FALSE),"")</f>
        <v>Small Business</v>
      </c>
      <c r="G157">
        <v>3</v>
      </c>
      <c r="H157" s="3">
        <v>0</v>
      </c>
      <c r="I157" t="s">
        <v>54</v>
      </c>
      <c r="J157" t="s">
        <v>23</v>
      </c>
      <c r="K157" s="4">
        <f>IFERROR(VLOOKUP(D157,Product_Master!$A$2:$F$13,5,FALSE),0)</f>
        <v>74999</v>
      </c>
      <c r="L157" t="str">
        <f>IFERROR(VLOOKUP(D157,Product_Master!$A$2:$F$13,2,FALSE),"")</f>
        <v>Laptop Pro 14</v>
      </c>
      <c r="M157" t="str">
        <f>IFERROR(VLOOKUP(D157,Product_Master!$A$2:$F$13,3,FALSE),"")</f>
        <v>Electronics</v>
      </c>
      <c r="N157" s="4">
        <f t="shared" si="10"/>
        <v>224997</v>
      </c>
      <c r="O157" s="4">
        <f t="shared" si="11"/>
        <v>0</v>
      </c>
      <c r="P157" s="4">
        <f t="shared" si="12"/>
        <v>224997</v>
      </c>
      <c r="Q157" s="4">
        <f>G157*IFERROR(VLOOKUP(D157,Product_Master!$A$2:$F$13,6,FALSE),0)</f>
        <v>175500</v>
      </c>
      <c r="R157" s="4">
        <f t="shared" si="13"/>
        <v>49497</v>
      </c>
      <c r="S157" s="5">
        <f t="shared" si="14"/>
        <v>0.21998959986133149</v>
      </c>
    </row>
    <row r="158" spans="1:19" x14ac:dyDescent="0.3">
      <c r="A158" t="s">
        <v>209</v>
      </c>
      <c r="B158" s="2">
        <v>45689</v>
      </c>
      <c r="C158" t="s">
        <v>47</v>
      </c>
      <c r="D158" t="s">
        <v>62</v>
      </c>
      <c r="E158" t="str">
        <f>IFERROR(VLOOKUP(C158,Customer_Master!$A$2:$E$16,4,FALSE),"")</f>
        <v>West</v>
      </c>
      <c r="F158" t="str">
        <f>IFERROR(VLOOKUP(C158,Customer_Master!$A$2:$E$16,5,FALSE),"")</f>
        <v>Corporate</v>
      </c>
      <c r="G158">
        <v>4</v>
      </c>
      <c r="H158" s="3">
        <v>0</v>
      </c>
      <c r="I158" t="s">
        <v>22</v>
      </c>
      <c r="J158" t="s">
        <v>23</v>
      </c>
      <c r="K158" s="4">
        <f>IFERROR(VLOOKUP(D158,Product_Master!$A$2:$F$13,5,FALSE),0)</f>
        <v>39999</v>
      </c>
      <c r="L158" t="str">
        <f>IFERROR(VLOOKUP(D158,Product_Master!$A$2:$F$13,2,FALSE),"")</f>
        <v>Smartphone X</v>
      </c>
      <c r="M158" t="str">
        <f>IFERROR(VLOOKUP(D158,Product_Master!$A$2:$F$13,3,FALSE),"")</f>
        <v>Electronics</v>
      </c>
      <c r="N158" s="4">
        <f t="shared" si="10"/>
        <v>159996</v>
      </c>
      <c r="O158" s="4">
        <f t="shared" si="11"/>
        <v>0</v>
      </c>
      <c r="P158" s="4">
        <f t="shared" si="12"/>
        <v>159996</v>
      </c>
      <c r="Q158" s="4">
        <f>G158*IFERROR(VLOOKUP(D158,Product_Master!$A$2:$F$13,6,FALSE),0)</f>
        <v>120000</v>
      </c>
      <c r="R158" s="4">
        <f t="shared" si="13"/>
        <v>39996</v>
      </c>
      <c r="S158" s="5">
        <f t="shared" si="14"/>
        <v>0.24998124953123829</v>
      </c>
    </row>
    <row r="159" spans="1:19" x14ac:dyDescent="0.3">
      <c r="A159" t="s">
        <v>210</v>
      </c>
      <c r="B159" s="2">
        <v>45818</v>
      </c>
      <c r="C159" t="s">
        <v>87</v>
      </c>
      <c r="D159" t="s">
        <v>38</v>
      </c>
      <c r="E159" t="str">
        <f>IFERROR(VLOOKUP(C159,Customer_Master!$A$2:$E$16,4,FALSE),"")</f>
        <v>East</v>
      </c>
      <c r="F159" t="str">
        <f>IFERROR(VLOOKUP(C159,Customer_Master!$A$2:$E$16,5,FALSE),"")</f>
        <v>Small Business</v>
      </c>
      <c r="G159">
        <v>1</v>
      </c>
      <c r="H159" s="3">
        <v>0.05</v>
      </c>
      <c r="I159" t="s">
        <v>26</v>
      </c>
      <c r="J159" t="s">
        <v>23</v>
      </c>
      <c r="K159" s="4">
        <f>IFERROR(VLOOKUP(D159,Product_Master!$A$2:$F$13,5,FALSE),0)</f>
        <v>74999</v>
      </c>
      <c r="L159" t="str">
        <f>IFERROR(VLOOKUP(D159,Product_Master!$A$2:$F$13,2,FALSE),"")</f>
        <v>Laptop Pro 14</v>
      </c>
      <c r="M159" t="str">
        <f>IFERROR(VLOOKUP(D159,Product_Master!$A$2:$F$13,3,FALSE),"")</f>
        <v>Electronics</v>
      </c>
      <c r="N159" s="4">
        <f t="shared" si="10"/>
        <v>74999</v>
      </c>
      <c r="O159" s="4">
        <f t="shared" si="11"/>
        <v>3749.9500000000003</v>
      </c>
      <c r="P159" s="4">
        <f t="shared" si="12"/>
        <v>71249.05</v>
      </c>
      <c r="Q159" s="4">
        <f>G159*IFERROR(VLOOKUP(D159,Product_Master!$A$2:$F$13,6,FALSE),0)</f>
        <v>58500</v>
      </c>
      <c r="R159" s="4">
        <f t="shared" si="13"/>
        <v>12749.050000000003</v>
      </c>
      <c r="S159" s="5">
        <f t="shared" si="14"/>
        <v>0.17893642090666476</v>
      </c>
    </row>
    <row r="160" spans="1:19" x14ac:dyDescent="0.3">
      <c r="A160" t="s">
        <v>211</v>
      </c>
      <c r="B160" s="2">
        <v>45778</v>
      </c>
      <c r="C160" t="s">
        <v>61</v>
      </c>
      <c r="D160" t="s">
        <v>70</v>
      </c>
      <c r="E160" t="str">
        <f>IFERROR(VLOOKUP(C160,Customer_Master!$A$2:$E$16,4,FALSE),"")</f>
        <v>South</v>
      </c>
      <c r="F160" t="str">
        <f>IFERROR(VLOOKUP(C160,Customer_Master!$A$2:$E$16,5,FALSE),"")</f>
        <v>Consumer</v>
      </c>
      <c r="G160">
        <v>5</v>
      </c>
      <c r="H160" s="3">
        <v>0.1</v>
      </c>
      <c r="I160" t="s">
        <v>22</v>
      </c>
      <c r="J160" t="s">
        <v>30</v>
      </c>
      <c r="K160" s="4">
        <f>IFERROR(VLOOKUP(D160,Product_Master!$A$2:$F$13,5,FALSE),0)</f>
        <v>2499</v>
      </c>
      <c r="L160" t="str">
        <f>IFERROR(VLOOKUP(D160,Product_Master!$A$2:$F$13,2,FALSE),"")</f>
        <v>USB-C Hub</v>
      </c>
      <c r="M160" t="str">
        <f>IFERROR(VLOOKUP(D160,Product_Master!$A$2:$F$13,3,FALSE),"")</f>
        <v>Accessories</v>
      </c>
      <c r="N160" s="4">
        <f t="shared" si="10"/>
        <v>12495</v>
      </c>
      <c r="O160" s="4">
        <f t="shared" si="11"/>
        <v>1249.5</v>
      </c>
      <c r="P160" s="4">
        <f t="shared" si="12"/>
        <v>11245.5</v>
      </c>
      <c r="Q160" s="4">
        <f>G160*IFERROR(VLOOKUP(D160,Product_Master!$A$2:$F$13,6,FALSE),0)</f>
        <v>7250</v>
      </c>
      <c r="R160" s="4">
        <f t="shared" si="13"/>
        <v>3995.5</v>
      </c>
      <c r="S160" s="5">
        <f t="shared" si="14"/>
        <v>0.35529767462540573</v>
      </c>
    </row>
    <row r="161" spans="1:19" x14ac:dyDescent="0.3">
      <c r="A161" t="s">
        <v>212</v>
      </c>
      <c r="B161" s="2">
        <v>45752</v>
      </c>
      <c r="C161" t="s">
        <v>61</v>
      </c>
      <c r="D161" t="s">
        <v>33</v>
      </c>
      <c r="E161" t="str">
        <f>IFERROR(VLOOKUP(C161,Customer_Master!$A$2:$E$16,4,FALSE),"")</f>
        <v>South</v>
      </c>
      <c r="F161" t="str">
        <f>IFERROR(VLOOKUP(C161,Customer_Master!$A$2:$E$16,5,FALSE),"")</f>
        <v>Consumer</v>
      </c>
      <c r="G161">
        <v>3</v>
      </c>
      <c r="H161" s="3">
        <v>0.1</v>
      </c>
      <c r="I161" t="s">
        <v>26</v>
      </c>
      <c r="J161" t="s">
        <v>23</v>
      </c>
      <c r="K161" s="4">
        <f>IFERROR(VLOOKUP(D161,Product_Master!$A$2:$F$13,5,FALSE),0)</f>
        <v>3999</v>
      </c>
      <c r="L161" t="str">
        <f>IFERROR(VLOOKUP(D161,Product_Master!$A$2:$F$13,2,FALSE),"")</f>
        <v>Mechanical Keyboard</v>
      </c>
      <c r="M161" t="str">
        <f>IFERROR(VLOOKUP(D161,Product_Master!$A$2:$F$13,3,FALSE),"")</f>
        <v>Accessories</v>
      </c>
      <c r="N161" s="4">
        <f t="shared" si="10"/>
        <v>11997</v>
      </c>
      <c r="O161" s="4">
        <f t="shared" si="11"/>
        <v>1199.7</v>
      </c>
      <c r="P161" s="4">
        <f t="shared" si="12"/>
        <v>10797.3</v>
      </c>
      <c r="Q161" s="4">
        <f>G161*IFERROR(VLOOKUP(D161,Product_Master!$A$2:$F$13,6,FALSE),0)</f>
        <v>7050</v>
      </c>
      <c r="R161" s="4">
        <f t="shared" si="13"/>
        <v>3747.2999999999993</v>
      </c>
      <c r="S161" s="5">
        <f t="shared" si="14"/>
        <v>0.34705898696896442</v>
      </c>
    </row>
    <row r="162" spans="1:19" x14ac:dyDescent="0.3">
      <c r="A162" t="s">
        <v>213</v>
      </c>
      <c r="B162" s="2">
        <v>45939</v>
      </c>
      <c r="C162" t="s">
        <v>82</v>
      </c>
      <c r="D162" t="s">
        <v>21</v>
      </c>
      <c r="E162" t="str">
        <f>IFERROR(VLOOKUP(C162,Customer_Master!$A$2:$E$16,4,FALSE),"")</f>
        <v>Central</v>
      </c>
      <c r="F162" t="str">
        <f>IFERROR(VLOOKUP(C162,Customer_Master!$A$2:$E$16,5,FALSE),"")</f>
        <v>Small Business</v>
      </c>
      <c r="G162">
        <v>4</v>
      </c>
      <c r="H162" s="3">
        <v>0.05</v>
      </c>
      <c r="I162" t="s">
        <v>49</v>
      </c>
      <c r="J162" t="s">
        <v>23</v>
      </c>
      <c r="K162" s="4">
        <f>IFERROR(VLOOKUP(D162,Product_Master!$A$2:$F$13,5,FALSE),0)</f>
        <v>1499</v>
      </c>
      <c r="L162" t="str">
        <f>IFERROR(VLOOKUP(D162,Product_Master!$A$2:$F$13,2,FALSE),"")</f>
        <v>Wireless Mouse</v>
      </c>
      <c r="M162" t="str">
        <f>IFERROR(VLOOKUP(D162,Product_Master!$A$2:$F$13,3,FALSE),"")</f>
        <v>Accessories</v>
      </c>
      <c r="N162" s="4">
        <f t="shared" si="10"/>
        <v>5996</v>
      </c>
      <c r="O162" s="4">
        <f t="shared" si="11"/>
        <v>299.8</v>
      </c>
      <c r="P162" s="4">
        <f t="shared" si="12"/>
        <v>5696.2</v>
      </c>
      <c r="Q162" s="4">
        <f>G162*IFERROR(VLOOKUP(D162,Product_Master!$A$2:$F$13,6,FALSE),0)</f>
        <v>3000</v>
      </c>
      <c r="R162" s="4">
        <f t="shared" si="13"/>
        <v>2696.2</v>
      </c>
      <c r="S162" s="5">
        <f t="shared" si="14"/>
        <v>0.47333309925915523</v>
      </c>
    </row>
    <row r="163" spans="1:19" x14ac:dyDescent="0.3">
      <c r="A163" t="s">
        <v>214</v>
      </c>
      <c r="B163" s="2">
        <v>45996</v>
      </c>
      <c r="C163" t="s">
        <v>87</v>
      </c>
      <c r="D163" t="s">
        <v>92</v>
      </c>
      <c r="E163" t="str">
        <f>IFERROR(VLOOKUP(C163,Customer_Master!$A$2:$E$16,4,FALSE),"")</f>
        <v>East</v>
      </c>
      <c r="F163" t="str">
        <f>IFERROR(VLOOKUP(C163,Customer_Master!$A$2:$E$16,5,FALSE),"")</f>
        <v>Small Business</v>
      </c>
      <c r="G163">
        <v>5</v>
      </c>
      <c r="H163" s="3">
        <v>0</v>
      </c>
      <c r="I163" t="s">
        <v>49</v>
      </c>
      <c r="J163" t="s">
        <v>23</v>
      </c>
      <c r="K163" s="4">
        <f>IFERROR(VLOOKUP(D163,Product_Master!$A$2:$F$13,5,FALSE),0)</f>
        <v>4999</v>
      </c>
      <c r="L163" t="str">
        <f>IFERROR(VLOOKUP(D163,Product_Master!$A$2:$F$13,2,FALSE),"")</f>
        <v>Wireless Headphones</v>
      </c>
      <c r="M163" t="str">
        <f>IFERROR(VLOOKUP(D163,Product_Master!$A$2:$F$13,3,FALSE),"")</f>
        <v>Electronics</v>
      </c>
      <c r="N163" s="4">
        <f t="shared" si="10"/>
        <v>24995</v>
      </c>
      <c r="O163" s="4">
        <f t="shared" si="11"/>
        <v>0</v>
      </c>
      <c r="P163" s="4">
        <f t="shared" si="12"/>
        <v>24995</v>
      </c>
      <c r="Q163" s="4">
        <f>G163*IFERROR(VLOOKUP(D163,Product_Master!$A$2:$F$13,6,FALSE),0)</f>
        <v>14500</v>
      </c>
      <c r="R163" s="4">
        <f t="shared" si="13"/>
        <v>10495</v>
      </c>
      <c r="S163" s="5">
        <f t="shared" si="14"/>
        <v>0.41988397679535905</v>
      </c>
    </row>
    <row r="164" spans="1:19" x14ac:dyDescent="0.3">
      <c r="A164" t="s">
        <v>215</v>
      </c>
      <c r="B164" s="2">
        <v>45769</v>
      </c>
      <c r="C164" t="s">
        <v>32</v>
      </c>
      <c r="D164" t="s">
        <v>38</v>
      </c>
      <c r="E164" t="str">
        <f>IFERROR(VLOOKUP(C164,Customer_Master!$A$2:$E$16,4,FALSE),"")</f>
        <v>East</v>
      </c>
      <c r="F164" t="str">
        <f>IFERROR(VLOOKUP(C164,Customer_Master!$A$2:$E$16,5,FALSE),"")</f>
        <v>Corporate</v>
      </c>
      <c r="G164">
        <v>2</v>
      </c>
      <c r="H164" s="3">
        <v>0.1</v>
      </c>
      <c r="I164" t="s">
        <v>22</v>
      </c>
      <c r="J164" t="s">
        <v>30</v>
      </c>
      <c r="K164" s="4">
        <f>IFERROR(VLOOKUP(D164,Product_Master!$A$2:$F$13,5,FALSE),0)</f>
        <v>74999</v>
      </c>
      <c r="L164" t="str">
        <f>IFERROR(VLOOKUP(D164,Product_Master!$A$2:$F$13,2,FALSE),"")</f>
        <v>Laptop Pro 14</v>
      </c>
      <c r="M164" t="str">
        <f>IFERROR(VLOOKUP(D164,Product_Master!$A$2:$F$13,3,FALSE),"")</f>
        <v>Electronics</v>
      </c>
      <c r="N164" s="4">
        <f t="shared" si="10"/>
        <v>149998</v>
      </c>
      <c r="O164" s="4">
        <f t="shared" si="11"/>
        <v>14999.800000000001</v>
      </c>
      <c r="P164" s="4">
        <f t="shared" si="12"/>
        <v>134998.20000000001</v>
      </c>
      <c r="Q164" s="4">
        <f>G164*IFERROR(VLOOKUP(D164,Product_Master!$A$2:$F$13,6,FALSE),0)</f>
        <v>117000</v>
      </c>
      <c r="R164" s="4">
        <f t="shared" si="13"/>
        <v>17998.200000000012</v>
      </c>
      <c r="S164" s="5">
        <f t="shared" si="14"/>
        <v>0.13332177762370173</v>
      </c>
    </row>
    <row r="165" spans="1:19" x14ac:dyDescent="0.3">
      <c r="A165" t="s">
        <v>216</v>
      </c>
      <c r="B165" s="2">
        <v>45687</v>
      </c>
      <c r="C165" t="s">
        <v>47</v>
      </c>
      <c r="D165" t="s">
        <v>28</v>
      </c>
      <c r="E165" t="str">
        <f>IFERROR(VLOOKUP(C165,Customer_Master!$A$2:$E$16,4,FALSE),"")</f>
        <v>West</v>
      </c>
      <c r="F165" t="str">
        <f>IFERROR(VLOOKUP(C165,Customer_Master!$A$2:$E$16,5,FALSE),"")</f>
        <v>Corporate</v>
      </c>
      <c r="G165">
        <v>6</v>
      </c>
      <c r="H165" s="3">
        <v>0.05</v>
      </c>
      <c r="I165" t="s">
        <v>29</v>
      </c>
      <c r="J165" t="s">
        <v>23</v>
      </c>
      <c r="K165" s="4">
        <f>IFERROR(VLOOKUP(D165,Product_Master!$A$2:$F$13,5,FALSE),0)</f>
        <v>28999</v>
      </c>
      <c r="L165" t="str">
        <f>IFERROR(VLOOKUP(D165,Product_Master!$A$2:$F$13,2,FALSE),"")</f>
        <v>Tablet Plus</v>
      </c>
      <c r="M165" t="str">
        <f>IFERROR(VLOOKUP(D165,Product_Master!$A$2:$F$13,3,FALSE),"")</f>
        <v>Electronics</v>
      </c>
      <c r="N165" s="4">
        <f t="shared" si="10"/>
        <v>173994</v>
      </c>
      <c r="O165" s="4">
        <f t="shared" si="11"/>
        <v>8699.7000000000007</v>
      </c>
      <c r="P165" s="4">
        <f t="shared" si="12"/>
        <v>165294.29999999999</v>
      </c>
      <c r="Q165" s="4">
        <f>G165*IFERROR(VLOOKUP(D165,Product_Master!$A$2:$F$13,6,FALSE),0)</f>
        <v>129000</v>
      </c>
      <c r="R165" s="4">
        <f t="shared" si="13"/>
        <v>36294.299999999988</v>
      </c>
      <c r="S165" s="5">
        <f t="shared" si="14"/>
        <v>0.21957381470504422</v>
      </c>
    </row>
    <row r="166" spans="1:19" x14ac:dyDescent="0.3">
      <c r="A166" t="s">
        <v>217</v>
      </c>
      <c r="B166" s="2">
        <v>45888</v>
      </c>
      <c r="C166" t="s">
        <v>87</v>
      </c>
      <c r="D166" t="s">
        <v>92</v>
      </c>
      <c r="E166" t="str">
        <f>IFERROR(VLOOKUP(C166,Customer_Master!$A$2:$E$16,4,FALSE),"")</f>
        <v>East</v>
      </c>
      <c r="F166" t="str">
        <f>IFERROR(VLOOKUP(C166,Customer_Master!$A$2:$E$16,5,FALSE),"")</f>
        <v>Small Business</v>
      </c>
      <c r="G166">
        <v>2</v>
      </c>
      <c r="H166" s="3">
        <v>0.1</v>
      </c>
      <c r="I166" t="s">
        <v>22</v>
      </c>
      <c r="J166" t="s">
        <v>23</v>
      </c>
      <c r="K166" s="4">
        <f>IFERROR(VLOOKUP(D166,Product_Master!$A$2:$F$13,5,FALSE),0)</f>
        <v>4999</v>
      </c>
      <c r="L166" t="str">
        <f>IFERROR(VLOOKUP(D166,Product_Master!$A$2:$F$13,2,FALSE),"")</f>
        <v>Wireless Headphones</v>
      </c>
      <c r="M166" t="str">
        <f>IFERROR(VLOOKUP(D166,Product_Master!$A$2:$F$13,3,FALSE),"")</f>
        <v>Electronics</v>
      </c>
      <c r="N166" s="4">
        <f t="shared" si="10"/>
        <v>9998</v>
      </c>
      <c r="O166" s="4">
        <f t="shared" si="11"/>
        <v>999.80000000000007</v>
      </c>
      <c r="P166" s="4">
        <f t="shared" si="12"/>
        <v>8998.2000000000007</v>
      </c>
      <c r="Q166" s="4">
        <f>G166*IFERROR(VLOOKUP(D166,Product_Master!$A$2:$F$13,6,FALSE),0)</f>
        <v>5800</v>
      </c>
      <c r="R166" s="4">
        <f t="shared" si="13"/>
        <v>3198.2000000000007</v>
      </c>
      <c r="S166" s="5">
        <f t="shared" si="14"/>
        <v>0.35542664088373238</v>
      </c>
    </row>
    <row r="167" spans="1:19" x14ac:dyDescent="0.3">
      <c r="A167" t="s">
        <v>218</v>
      </c>
      <c r="B167" s="2">
        <v>45822</v>
      </c>
      <c r="C167" t="s">
        <v>32</v>
      </c>
      <c r="D167" t="s">
        <v>62</v>
      </c>
      <c r="E167" t="str">
        <f>IFERROR(VLOOKUP(C167,Customer_Master!$A$2:$E$16,4,FALSE),"")</f>
        <v>East</v>
      </c>
      <c r="F167" t="str">
        <f>IFERROR(VLOOKUP(C167,Customer_Master!$A$2:$E$16,5,FALSE),"")</f>
        <v>Corporate</v>
      </c>
      <c r="G167">
        <v>2</v>
      </c>
      <c r="H167" s="3">
        <v>0.05</v>
      </c>
      <c r="I167" t="s">
        <v>22</v>
      </c>
      <c r="J167" t="s">
        <v>23</v>
      </c>
      <c r="K167" s="4">
        <f>IFERROR(VLOOKUP(D167,Product_Master!$A$2:$F$13,5,FALSE),0)</f>
        <v>39999</v>
      </c>
      <c r="L167" t="str">
        <f>IFERROR(VLOOKUP(D167,Product_Master!$A$2:$F$13,2,FALSE),"")</f>
        <v>Smartphone X</v>
      </c>
      <c r="M167" t="str">
        <f>IFERROR(VLOOKUP(D167,Product_Master!$A$2:$F$13,3,FALSE),"")</f>
        <v>Electronics</v>
      </c>
      <c r="N167" s="4">
        <f t="shared" si="10"/>
        <v>79998</v>
      </c>
      <c r="O167" s="4">
        <f t="shared" si="11"/>
        <v>3999.9</v>
      </c>
      <c r="P167" s="4">
        <f t="shared" si="12"/>
        <v>75998.100000000006</v>
      </c>
      <c r="Q167" s="4">
        <f>G167*IFERROR(VLOOKUP(D167,Product_Master!$A$2:$F$13,6,FALSE),0)</f>
        <v>60000</v>
      </c>
      <c r="R167" s="4">
        <f t="shared" si="13"/>
        <v>15998.100000000006</v>
      </c>
      <c r="S167" s="5">
        <f t="shared" si="14"/>
        <v>0.21050657845393508</v>
      </c>
    </row>
    <row r="168" spans="1:19" x14ac:dyDescent="0.3">
      <c r="A168" t="s">
        <v>219</v>
      </c>
      <c r="B168" s="2">
        <v>45975</v>
      </c>
      <c r="C168" t="s">
        <v>82</v>
      </c>
      <c r="D168" t="s">
        <v>52</v>
      </c>
      <c r="E168" t="str">
        <f>IFERROR(VLOOKUP(C168,Customer_Master!$A$2:$E$16,4,FALSE),"")</f>
        <v>Central</v>
      </c>
      <c r="F168" t="str">
        <f>IFERROR(VLOOKUP(C168,Customer_Master!$A$2:$E$16,5,FALSE),"")</f>
        <v>Small Business</v>
      </c>
      <c r="G168">
        <v>3</v>
      </c>
      <c r="H168" s="3">
        <v>0.15</v>
      </c>
      <c r="I168" t="s">
        <v>22</v>
      </c>
      <c r="J168" t="s">
        <v>23</v>
      </c>
      <c r="K168" s="4">
        <f>IFERROR(VLOOKUP(D168,Product_Master!$A$2:$F$13,5,FALSE),0)</f>
        <v>6999</v>
      </c>
      <c r="L168" t="str">
        <f>IFERROR(VLOOKUP(D168,Product_Master!$A$2:$F$13,2,FALSE),"")</f>
        <v>Study Desk</v>
      </c>
      <c r="M168" t="str">
        <f>IFERROR(VLOOKUP(D168,Product_Master!$A$2:$F$13,3,FALSE),"")</f>
        <v>Furniture</v>
      </c>
      <c r="N168" s="4">
        <f t="shared" si="10"/>
        <v>20997</v>
      </c>
      <c r="O168" s="4">
        <f t="shared" si="11"/>
        <v>3149.5499999999997</v>
      </c>
      <c r="P168" s="4">
        <f t="shared" si="12"/>
        <v>17847.45</v>
      </c>
      <c r="Q168" s="4">
        <f>G168*IFERROR(VLOOKUP(D168,Product_Master!$A$2:$F$13,6,FALSE),0)</f>
        <v>13500</v>
      </c>
      <c r="R168" s="4">
        <f t="shared" si="13"/>
        <v>4347.4500000000007</v>
      </c>
      <c r="S168" s="5">
        <f t="shared" si="14"/>
        <v>0.24358942033735914</v>
      </c>
    </row>
    <row r="169" spans="1:19" x14ac:dyDescent="0.3">
      <c r="A169" t="s">
        <v>220</v>
      </c>
      <c r="B169" s="2">
        <v>45749</v>
      </c>
      <c r="C169" t="s">
        <v>25</v>
      </c>
      <c r="D169" t="s">
        <v>70</v>
      </c>
      <c r="E169" t="str">
        <f>IFERROR(VLOOKUP(C169,Customer_Master!$A$2:$E$16,4,FALSE),"")</f>
        <v>South</v>
      </c>
      <c r="F169" t="str">
        <f>IFERROR(VLOOKUP(C169,Customer_Master!$A$2:$E$16,5,FALSE),"")</f>
        <v>Corporate</v>
      </c>
      <c r="G169">
        <v>1</v>
      </c>
      <c r="H169" s="3">
        <v>0.05</v>
      </c>
      <c r="I169" t="s">
        <v>26</v>
      </c>
      <c r="J169" t="s">
        <v>23</v>
      </c>
      <c r="K169" s="4">
        <f>IFERROR(VLOOKUP(D169,Product_Master!$A$2:$F$13,5,FALSE),0)</f>
        <v>2499</v>
      </c>
      <c r="L169" t="str">
        <f>IFERROR(VLOOKUP(D169,Product_Master!$A$2:$F$13,2,FALSE),"")</f>
        <v>USB-C Hub</v>
      </c>
      <c r="M169" t="str">
        <f>IFERROR(VLOOKUP(D169,Product_Master!$A$2:$F$13,3,FALSE),"")</f>
        <v>Accessories</v>
      </c>
      <c r="N169" s="4">
        <f t="shared" si="10"/>
        <v>2499</v>
      </c>
      <c r="O169" s="4">
        <f t="shared" si="11"/>
        <v>124.95</v>
      </c>
      <c r="P169" s="4">
        <f t="shared" si="12"/>
        <v>2374.0500000000002</v>
      </c>
      <c r="Q169" s="4">
        <f>G169*IFERROR(VLOOKUP(D169,Product_Master!$A$2:$F$13,6,FALSE),0)</f>
        <v>1450</v>
      </c>
      <c r="R169" s="4">
        <f t="shared" si="13"/>
        <v>924.05000000000018</v>
      </c>
      <c r="S169" s="5">
        <f t="shared" si="14"/>
        <v>0.38922937596091073</v>
      </c>
    </row>
    <row r="170" spans="1:19" x14ac:dyDescent="0.3">
      <c r="A170" t="s">
        <v>221</v>
      </c>
      <c r="B170" s="2">
        <v>45796</v>
      </c>
      <c r="C170" t="s">
        <v>102</v>
      </c>
      <c r="D170" t="s">
        <v>92</v>
      </c>
      <c r="E170" t="str">
        <f>IFERROR(VLOOKUP(C170,Customer_Master!$A$2:$E$16,4,FALSE),"")</f>
        <v>West</v>
      </c>
      <c r="F170" t="str">
        <f>IFERROR(VLOOKUP(C170,Customer_Master!$A$2:$E$16,5,FALSE),"")</f>
        <v>Consumer</v>
      </c>
      <c r="G170">
        <v>5</v>
      </c>
      <c r="H170" s="3">
        <v>0.15</v>
      </c>
      <c r="I170" t="s">
        <v>29</v>
      </c>
      <c r="J170" t="s">
        <v>23</v>
      </c>
      <c r="K170" s="4">
        <f>IFERROR(VLOOKUP(D170,Product_Master!$A$2:$F$13,5,FALSE),0)</f>
        <v>4999</v>
      </c>
      <c r="L170" t="str">
        <f>IFERROR(VLOOKUP(D170,Product_Master!$A$2:$F$13,2,FALSE),"")</f>
        <v>Wireless Headphones</v>
      </c>
      <c r="M170" t="str">
        <f>IFERROR(VLOOKUP(D170,Product_Master!$A$2:$F$13,3,FALSE),"")</f>
        <v>Electronics</v>
      </c>
      <c r="N170" s="4">
        <f t="shared" si="10"/>
        <v>24995</v>
      </c>
      <c r="O170" s="4">
        <f t="shared" si="11"/>
        <v>3749.25</v>
      </c>
      <c r="P170" s="4">
        <f t="shared" si="12"/>
        <v>21245.75</v>
      </c>
      <c r="Q170" s="4">
        <f>G170*IFERROR(VLOOKUP(D170,Product_Master!$A$2:$F$13,6,FALSE),0)</f>
        <v>14500</v>
      </c>
      <c r="R170" s="4">
        <f t="shared" si="13"/>
        <v>6745.75</v>
      </c>
      <c r="S170" s="5">
        <f t="shared" si="14"/>
        <v>0.31751056093571656</v>
      </c>
    </row>
    <row r="171" spans="1:19" x14ac:dyDescent="0.3">
      <c r="A171" t="s">
        <v>222</v>
      </c>
      <c r="B171" s="2">
        <v>45700</v>
      </c>
      <c r="C171" t="s">
        <v>74</v>
      </c>
      <c r="D171" t="s">
        <v>33</v>
      </c>
      <c r="E171" t="str">
        <f>IFERROR(VLOOKUP(C171,Customer_Master!$A$2:$E$16,4,FALSE),"")</f>
        <v>East</v>
      </c>
      <c r="F171" t="str">
        <f>IFERROR(VLOOKUP(C171,Customer_Master!$A$2:$E$16,5,FALSE),"")</f>
        <v>Consumer</v>
      </c>
      <c r="G171">
        <v>6</v>
      </c>
      <c r="H171" s="3">
        <v>0.15</v>
      </c>
      <c r="I171" t="s">
        <v>22</v>
      </c>
      <c r="J171" t="s">
        <v>30</v>
      </c>
      <c r="K171" s="4">
        <f>IFERROR(VLOOKUP(D171,Product_Master!$A$2:$F$13,5,FALSE),0)</f>
        <v>3999</v>
      </c>
      <c r="L171" t="str">
        <f>IFERROR(VLOOKUP(D171,Product_Master!$A$2:$F$13,2,FALSE),"")</f>
        <v>Mechanical Keyboard</v>
      </c>
      <c r="M171" t="str">
        <f>IFERROR(VLOOKUP(D171,Product_Master!$A$2:$F$13,3,FALSE),"")</f>
        <v>Accessories</v>
      </c>
      <c r="N171" s="4">
        <f t="shared" si="10"/>
        <v>23994</v>
      </c>
      <c r="O171" s="4">
        <f t="shared" si="11"/>
        <v>3599.1</v>
      </c>
      <c r="P171" s="4">
        <f t="shared" si="12"/>
        <v>20394.900000000001</v>
      </c>
      <c r="Q171" s="4">
        <f>G171*IFERROR(VLOOKUP(D171,Product_Master!$A$2:$F$13,6,FALSE),0)</f>
        <v>14100</v>
      </c>
      <c r="R171" s="4">
        <f t="shared" si="13"/>
        <v>6294.9000000000015</v>
      </c>
      <c r="S171" s="5">
        <f t="shared" si="14"/>
        <v>0.30865069208478596</v>
      </c>
    </row>
    <row r="172" spans="1:19" x14ac:dyDescent="0.3">
      <c r="A172" t="s">
        <v>223</v>
      </c>
      <c r="B172" s="2">
        <v>45754</v>
      </c>
      <c r="C172" t="s">
        <v>76</v>
      </c>
      <c r="D172" t="s">
        <v>38</v>
      </c>
      <c r="E172" t="str">
        <f>IFERROR(VLOOKUP(C172,Customer_Master!$A$2:$E$16,4,FALSE),"")</f>
        <v>West</v>
      </c>
      <c r="F172" t="str">
        <f>IFERROR(VLOOKUP(C172,Customer_Master!$A$2:$E$16,5,FALSE),"")</f>
        <v>Small Business</v>
      </c>
      <c r="G172">
        <v>4</v>
      </c>
      <c r="H172" s="3">
        <v>0.05</v>
      </c>
      <c r="I172" t="s">
        <v>29</v>
      </c>
      <c r="J172" t="s">
        <v>23</v>
      </c>
      <c r="K172" s="4">
        <f>IFERROR(VLOOKUP(D172,Product_Master!$A$2:$F$13,5,FALSE),0)</f>
        <v>74999</v>
      </c>
      <c r="L172" t="str">
        <f>IFERROR(VLOOKUP(D172,Product_Master!$A$2:$F$13,2,FALSE),"")</f>
        <v>Laptop Pro 14</v>
      </c>
      <c r="M172" t="str">
        <f>IFERROR(VLOOKUP(D172,Product_Master!$A$2:$F$13,3,FALSE),"")</f>
        <v>Electronics</v>
      </c>
      <c r="N172" s="4">
        <f t="shared" si="10"/>
        <v>299996</v>
      </c>
      <c r="O172" s="4">
        <f t="shared" si="11"/>
        <v>14999.800000000001</v>
      </c>
      <c r="P172" s="4">
        <f t="shared" si="12"/>
        <v>284996.2</v>
      </c>
      <c r="Q172" s="4">
        <f>G172*IFERROR(VLOOKUP(D172,Product_Master!$A$2:$F$13,6,FALSE),0)</f>
        <v>234000</v>
      </c>
      <c r="R172" s="4">
        <f t="shared" si="13"/>
        <v>50996.200000000012</v>
      </c>
      <c r="S172" s="5">
        <f t="shared" si="14"/>
        <v>0.17893642090666476</v>
      </c>
    </row>
    <row r="173" spans="1:19" x14ac:dyDescent="0.3">
      <c r="A173" t="s">
        <v>224</v>
      </c>
      <c r="B173" s="2">
        <v>45936</v>
      </c>
      <c r="C173" t="s">
        <v>61</v>
      </c>
      <c r="D173" t="s">
        <v>38</v>
      </c>
      <c r="E173" t="str">
        <f>IFERROR(VLOOKUP(C173,Customer_Master!$A$2:$E$16,4,FALSE),"")</f>
        <v>South</v>
      </c>
      <c r="F173" t="str">
        <f>IFERROR(VLOOKUP(C173,Customer_Master!$A$2:$E$16,5,FALSE),"")</f>
        <v>Consumer</v>
      </c>
      <c r="G173">
        <v>4</v>
      </c>
      <c r="H173" s="3">
        <v>0.15</v>
      </c>
      <c r="I173" t="s">
        <v>49</v>
      </c>
      <c r="J173" t="s">
        <v>23</v>
      </c>
      <c r="K173" s="4">
        <f>IFERROR(VLOOKUP(D173,Product_Master!$A$2:$F$13,5,FALSE),0)</f>
        <v>74999</v>
      </c>
      <c r="L173" t="str">
        <f>IFERROR(VLOOKUP(D173,Product_Master!$A$2:$F$13,2,FALSE),"")</f>
        <v>Laptop Pro 14</v>
      </c>
      <c r="M173" t="str">
        <f>IFERROR(VLOOKUP(D173,Product_Master!$A$2:$F$13,3,FALSE),"")</f>
        <v>Electronics</v>
      </c>
      <c r="N173" s="4">
        <f t="shared" si="10"/>
        <v>299996</v>
      </c>
      <c r="O173" s="4">
        <f t="shared" si="11"/>
        <v>44999.4</v>
      </c>
      <c r="P173" s="4">
        <f t="shared" si="12"/>
        <v>254996.6</v>
      </c>
      <c r="Q173" s="4">
        <f>G173*IFERROR(VLOOKUP(D173,Product_Master!$A$2:$F$13,6,FALSE),0)</f>
        <v>234000</v>
      </c>
      <c r="R173" s="4">
        <f t="shared" si="13"/>
        <v>20996.600000000006</v>
      </c>
      <c r="S173" s="5">
        <f t="shared" si="14"/>
        <v>8.2340705719213536E-2</v>
      </c>
    </row>
    <row r="174" spans="1:19" x14ac:dyDescent="0.3">
      <c r="A174" t="s">
        <v>225</v>
      </c>
      <c r="B174" s="2">
        <v>45819</v>
      </c>
      <c r="C174" t="s">
        <v>65</v>
      </c>
      <c r="D174" t="s">
        <v>28</v>
      </c>
      <c r="E174" t="str">
        <f>IFERROR(VLOOKUP(C174,Customer_Master!$A$2:$E$16,4,FALSE),"")</f>
        <v>Central</v>
      </c>
      <c r="F174" t="str">
        <f>IFERROR(VLOOKUP(C174,Customer_Master!$A$2:$E$16,5,FALSE),"")</f>
        <v>Consumer</v>
      </c>
      <c r="G174">
        <v>3</v>
      </c>
      <c r="H174" s="3">
        <v>0.1</v>
      </c>
      <c r="I174" t="s">
        <v>29</v>
      </c>
      <c r="J174" t="s">
        <v>30</v>
      </c>
      <c r="K174" s="4">
        <f>IFERROR(VLOOKUP(D174,Product_Master!$A$2:$F$13,5,FALSE),0)</f>
        <v>28999</v>
      </c>
      <c r="L174" t="str">
        <f>IFERROR(VLOOKUP(D174,Product_Master!$A$2:$F$13,2,FALSE),"")</f>
        <v>Tablet Plus</v>
      </c>
      <c r="M174" t="str">
        <f>IFERROR(VLOOKUP(D174,Product_Master!$A$2:$F$13,3,FALSE),"")</f>
        <v>Electronics</v>
      </c>
      <c r="N174" s="4">
        <f t="shared" si="10"/>
        <v>86997</v>
      </c>
      <c r="O174" s="4">
        <f t="shared" si="11"/>
        <v>8699.7000000000007</v>
      </c>
      <c r="P174" s="4">
        <f t="shared" si="12"/>
        <v>78297.3</v>
      </c>
      <c r="Q174" s="4">
        <f>G174*IFERROR(VLOOKUP(D174,Product_Master!$A$2:$F$13,6,FALSE),0)</f>
        <v>64500</v>
      </c>
      <c r="R174" s="4">
        <f t="shared" si="13"/>
        <v>13797.300000000003</v>
      </c>
      <c r="S174" s="5">
        <f t="shared" si="14"/>
        <v>0.17621680441088011</v>
      </c>
    </row>
    <row r="175" spans="1:19" x14ac:dyDescent="0.3">
      <c r="A175" t="s">
        <v>226</v>
      </c>
      <c r="B175" s="2">
        <v>45999</v>
      </c>
      <c r="C175" t="s">
        <v>76</v>
      </c>
      <c r="D175" t="s">
        <v>33</v>
      </c>
      <c r="E175" t="str">
        <f>IFERROR(VLOOKUP(C175,Customer_Master!$A$2:$E$16,4,FALSE),"")</f>
        <v>West</v>
      </c>
      <c r="F175" t="str">
        <f>IFERROR(VLOOKUP(C175,Customer_Master!$A$2:$E$16,5,FALSE),"")</f>
        <v>Small Business</v>
      </c>
      <c r="G175">
        <v>6</v>
      </c>
      <c r="H175" s="3">
        <v>0</v>
      </c>
      <c r="I175" t="s">
        <v>54</v>
      </c>
      <c r="J175" t="s">
        <v>23</v>
      </c>
      <c r="K175" s="4">
        <f>IFERROR(VLOOKUP(D175,Product_Master!$A$2:$F$13,5,FALSE),0)</f>
        <v>3999</v>
      </c>
      <c r="L175" t="str">
        <f>IFERROR(VLOOKUP(D175,Product_Master!$A$2:$F$13,2,FALSE),"")</f>
        <v>Mechanical Keyboard</v>
      </c>
      <c r="M175" t="str">
        <f>IFERROR(VLOOKUP(D175,Product_Master!$A$2:$F$13,3,FALSE),"")</f>
        <v>Accessories</v>
      </c>
      <c r="N175" s="4">
        <f t="shared" si="10"/>
        <v>23994</v>
      </c>
      <c r="O175" s="4">
        <f t="shared" si="11"/>
        <v>0</v>
      </c>
      <c r="P175" s="4">
        <f t="shared" si="12"/>
        <v>23994</v>
      </c>
      <c r="Q175" s="4">
        <f>G175*IFERROR(VLOOKUP(D175,Product_Master!$A$2:$F$13,6,FALSE),0)</f>
        <v>14100</v>
      </c>
      <c r="R175" s="4">
        <f t="shared" si="13"/>
        <v>9894</v>
      </c>
      <c r="S175" s="5">
        <f t="shared" si="14"/>
        <v>0.41235308827206801</v>
      </c>
    </row>
    <row r="176" spans="1:19" x14ac:dyDescent="0.3">
      <c r="A176" t="s">
        <v>227</v>
      </c>
      <c r="B176" s="2">
        <v>45712</v>
      </c>
      <c r="C176" t="s">
        <v>82</v>
      </c>
      <c r="D176" t="s">
        <v>62</v>
      </c>
      <c r="E176" t="str">
        <f>IFERROR(VLOOKUP(C176,Customer_Master!$A$2:$E$16,4,FALSE),"")</f>
        <v>Central</v>
      </c>
      <c r="F176" t="str">
        <f>IFERROR(VLOOKUP(C176,Customer_Master!$A$2:$E$16,5,FALSE),"")</f>
        <v>Small Business</v>
      </c>
      <c r="G176">
        <v>6</v>
      </c>
      <c r="H176" s="3">
        <v>0.1</v>
      </c>
      <c r="I176" t="s">
        <v>49</v>
      </c>
      <c r="J176" t="s">
        <v>23</v>
      </c>
      <c r="K176" s="4">
        <f>IFERROR(VLOOKUP(D176,Product_Master!$A$2:$F$13,5,FALSE),0)</f>
        <v>39999</v>
      </c>
      <c r="L176" t="str">
        <f>IFERROR(VLOOKUP(D176,Product_Master!$A$2:$F$13,2,FALSE),"")</f>
        <v>Smartphone X</v>
      </c>
      <c r="M176" t="str">
        <f>IFERROR(VLOOKUP(D176,Product_Master!$A$2:$F$13,3,FALSE),"")</f>
        <v>Electronics</v>
      </c>
      <c r="N176" s="4">
        <f t="shared" si="10"/>
        <v>239994</v>
      </c>
      <c r="O176" s="4">
        <f t="shared" si="11"/>
        <v>23999.4</v>
      </c>
      <c r="P176" s="4">
        <f t="shared" si="12"/>
        <v>215994.6</v>
      </c>
      <c r="Q176" s="4">
        <f>G176*IFERROR(VLOOKUP(D176,Product_Master!$A$2:$F$13,6,FALSE),0)</f>
        <v>180000</v>
      </c>
      <c r="R176" s="4">
        <f t="shared" si="13"/>
        <v>35994.600000000006</v>
      </c>
      <c r="S176" s="5">
        <f t="shared" si="14"/>
        <v>0.16664583281248699</v>
      </c>
    </row>
    <row r="177" spans="1:19" x14ac:dyDescent="0.3">
      <c r="A177" t="s">
        <v>228</v>
      </c>
      <c r="B177" s="2">
        <v>45664</v>
      </c>
      <c r="C177" t="s">
        <v>82</v>
      </c>
      <c r="D177" t="s">
        <v>33</v>
      </c>
      <c r="E177" t="str">
        <f>IFERROR(VLOOKUP(C177,Customer_Master!$A$2:$E$16,4,FALSE),"")</f>
        <v>Central</v>
      </c>
      <c r="F177" t="str">
        <f>IFERROR(VLOOKUP(C177,Customer_Master!$A$2:$E$16,5,FALSE),"")</f>
        <v>Small Business</v>
      </c>
      <c r="G177">
        <v>4</v>
      </c>
      <c r="H177" s="3">
        <v>0.1</v>
      </c>
      <c r="I177" t="s">
        <v>26</v>
      </c>
      <c r="J177" t="s">
        <v>23</v>
      </c>
      <c r="K177" s="4">
        <f>IFERROR(VLOOKUP(D177,Product_Master!$A$2:$F$13,5,FALSE),0)</f>
        <v>3999</v>
      </c>
      <c r="L177" t="str">
        <f>IFERROR(VLOOKUP(D177,Product_Master!$A$2:$F$13,2,FALSE),"")</f>
        <v>Mechanical Keyboard</v>
      </c>
      <c r="M177" t="str">
        <f>IFERROR(VLOOKUP(D177,Product_Master!$A$2:$F$13,3,FALSE),"")</f>
        <v>Accessories</v>
      </c>
      <c r="N177" s="4">
        <f t="shared" si="10"/>
        <v>15996</v>
      </c>
      <c r="O177" s="4">
        <f t="shared" si="11"/>
        <v>1599.6000000000001</v>
      </c>
      <c r="P177" s="4">
        <f t="shared" si="12"/>
        <v>14396.4</v>
      </c>
      <c r="Q177" s="4">
        <f>G177*IFERROR(VLOOKUP(D177,Product_Master!$A$2:$F$13,6,FALSE),0)</f>
        <v>9400</v>
      </c>
      <c r="R177" s="4">
        <f t="shared" si="13"/>
        <v>4996.3999999999996</v>
      </c>
      <c r="S177" s="5">
        <f t="shared" si="14"/>
        <v>0.34705898696896442</v>
      </c>
    </row>
    <row r="178" spans="1:19" x14ac:dyDescent="0.3">
      <c r="A178" t="s">
        <v>229</v>
      </c>
      <c r="B178" s="2">
        <v>45892</v>
      </c>
      <c r="C178" t="s">
        <v>37</v>
      </c>
      <c r="D178" t="s">
        <v>48</v>
      </c>
      <c r="E178" t="str">
        <f>IFERROR(VLOOKUP(C178,Customer_Master!$A$2:$E$16,4,FALSE),"")</f>
        <v>North</v>
      </c>
      <c r="F178" t="str">
        <f>IFERROR(VLOOKUP(C178,Customer_Master!$A$2:$E$16,5,FALSE),"")</f>
        <v>Consumer</v>
      </c>
      <c r="G178">
        <v>1</v>
      </c>
      <c r="H178" s="3">
        <v>0.05</v>
      </c>
      <c r="I178" t="s">
        <v>22</v>
      </c>
      <c r="J178" t="s">
        <v>23</v>
      </c>
      <c r="K178" s="4">
        <f>IFERROR(VLOOKUP(D178,Product_Master!$A$2:$F$13,5,FALSE),0)</f>
        <v>62999</v>
      </c>
      <c r="L178" t="str">
        <f>IFERROR(VLOOKUP(D178,Product_Master!$A$2:$F$13,2,FALSE),"")</f>
        <v>Laptop Air 13</v>
      </c>
      <c r="M178" t="str">
        <f>IFERROR(VLOOKUP(D178,Product_Master!$A$2:$F$13,3,FALSE),"")</f>
        <v>Electronics</v>
      </c>
      <c r="N178" s="4">
        <f t="shared" si="10"/>
        <v>62999</v>
      </c>
      <c r="O178" s="4">
        <f t="shared" si="11"/>
        <v>3149.9500000000003</v>
      </c>
      <c r="P178" s="4">
        <f t="shared" si="12"/>
        <v>59849.05</v>
      </c>
      <c r="Q178" s="4">
        <f>G178*IFERROR(VLOOKUP(D178,Product_Master!$A$2:$F$13,6,FALSE),0)</f>
        <v>49000</v>
      </c>
      <c r="R178" s="4">
        <f t="shared" si="13"/>
        <v>10849.050000000003</v>
      </c>
      <c r="S178" s="5">
        <f t="shared" si="14"/>
        <v>0.18127355404973014</v>
      </c>
    </row>
    <row r="179" spans="1:19" x14ac:dyDescent="0.3">
      <c r="A179" t="s">
        <v>230</v>
      </c>
      <c r="B179" s="2">
        <v>45850</v>
      </c>
      <c r="C179" t="s">
        <v>76</v>
      </c>
      <c r="D179" t="s">
        <v>43</v>
      </c>
      <c r="E179" t="str">
        <f>IFERROR(VLOOKUP(C179,Customer_Master!$A$2:$E$16,4,FALSE),"")</f>
        <v>West</v>
      </c>
      <c r="F179" t="str">
        <f>IFERROR(VLOOKUP(C179,Customer_Master!$A$2:$E$16,5,FALSE),"")</f>
        <v>Small Business</v>
      </c>
      <c r="G179">
        <v>5</v>
      </c>
      <c r="H179" s="3">
        <v>0.05</v>
      </c>
      <c r="I179" t="s">
        <v>54</v>
      </c>
      <c r="J179" t="s">
        <v>23</v>
      </c>
      <c r="K179" s="4">
        <f>IFERROR(VLOOKUP(D179,Product_Master!$A$2:$F$13,5,FALSE),0)</f>
        <v>8999</v>
      </c>
      <c r="L179" t="str">
        <f>IFERROR(VLOOKUP(D179,Product_Master!$A$2:$F$13,2,FALSE),"")</f>
        <v>Office Chair</v>
      </c>
      <c r="M179" t="str">
        <f>IFERROR(VLOOKUP(D179,Product_Master!$A$2:$F$13,3,FALSE),"")</f>
        <v>Furniture</v>
      </c>
      <c r="N179" s="4">
        <f t="shared" si="10"/>
        <v>44995</v>
      </c>
      <c r="O179" s="4">
        <f t="shared" si="11"/>
        <v>2249.75</v>
      </c>
      <c r="P179" s="4">
        <f t="shared" si="12"/>
        <v>42745.25</v>
      </c>
      <c r="Q179" s="4">
        <f>G179*IFERROR(VLOOKUP(D179,Product_Master!$A$2:$F$13,6,FALSE),0)</f>
        <v>30500</v>
      </c>
      <c r="R179" s="4">
        <f t="shared" si="13"/>
        <v>12245.25</v>
      </c>
      <c r="S179" s="5">
        <f t="shared" si="14"/>
        <v>0.28647042653862126</v>
      </c>
    </row>
    <row r="180" spans="1:19" x14ac:dyDescent="0.3">
      <c r="A180" t="s">
        <v>231</v>
      </c>
      <c r="B180" s="2">
        <v>45702</v>
      </c>
      <c r="C180" t="s">
        <v>40</v>
      </c>
      <c r="D180" t="s">
        <v>43</v>
      </c>
      <c r="E180" t="str">
        <f>IFERROR(VLOOKUP(C180,Customer_Master!$A$2:$E$16,4,FALSE),"")</f>
        <v>West</v>
      </c>
      <c r="F180" t="str">
        <f>IFERROR(VLOOKUP(C180,Customer_Master!$A$2:$E$16,5,FALSE),"")</f>
        <v>Corporate</v>
      </c>
      <c r="G180">
        <v>3</v>
      </c>
      <c r="H180" s="3">
        <v>0.05</v>
      </c>
      <c r="I180" t="s">
        <v>26</v>
      </c>
      <c r="J180" t="s">
        <v>23</v>
      </c>
      <c r="K180" s="4">
        <f>IFERROR(VLOOKUP(D180,Product_Master!$A$2:$F$13,5,FALSE),0)</f>
        <v>8999</v>
      </c>
      <c r="L180" t="str">
        <f>IFERROR(VLOOKUP(D180,Product_Master!$A$2:$F$13,2,FALSE),"")</f>
        <v>Office Chair</v>
      </c>
      <c r="M180" t="str">
        <f>IFERROR(VLOOKUP(D180,Product_Master!$A$2:$F$13,3,FALSE),"")</f>
        <v>Furniture</v>
      </c>
      <c r="N180" s="4">
        <f t="shared" si="10"/>
        <v>26997</v>
      </c>
      <c r="O180" s="4">
        <f t="shared" si="11"/>
        <v>1349.8500000000001</v>
      </c>
      <c r="P180" s="4">
        <f t="shared" si="12"/>
        <v>25647.15</v>
      </c>
      <c r="Q180" s="4">
        <f>G180*IFERROR(VLOOKUP(D180,Product_Master!$A$2:$F$13,6,FALSE),0)</f>
        <v>18300</v>
      </c>
      <c r="R180" s="4">
        <f t="shared" si="13"/>
        <v>7347.1500000000015</v>
      </c>
      <c r="S180" s="5">
        <f t="shared" si="14"/>
        <v>0.28647042653862131</v>
      </c>
    </row>
    <row r="181" spans="1:19" x14ac:dyDescent="0.3">
      <c r="A181" t="s">
        <v>232</v>
      </c>
      <c r="B181" s="2">
        <v>45826</v>
      </c>
      <c r="C181" t="s">
        <v>74</v>
      </c>
      <c r="D181" t="s">
        <v>48</v>
      </c>
      <c r="E181" t="str">
        <f>IFERROR(VLOOKUP(C181,Customer_Master!$A$2:$E$16,4,FALSE),"")</f>
        <v>East</v>
      </c>
      <c r="F181" t="str">
        <f>IFERROR(VLOOKUP(C181,Customer_Master!$A$2:$E$16,5,FALSE),"")</f>
        <v>Consumer</v>
      </c>
      <c r="G181">
        <v>3</v>
      </c>
      <c r="H181" s="3">
        <v>0.05</v>
      </c>
      <c r="I181" t="s">
        <v>22</v>
      </c>
      <c r="J181" t="s">
        <v>23</v>
      </c>
      <c r="K181" s="4">
        <f>IFERROR(VLOOKUP(D181,Product_Master!$A$2:$F$13,5,FALSE),0)</f>
        <v>62999</v>
      </c>
      <c r="L181" t="str">
        <f>IFERROR(VLOOKUP(D181,Product_Master!$A$2:$F$13,2,FALSE),"")</f>
        <v>Laptop Air 13</v>
      </c>
      <c r="M181" t="str">
        <f>IFERROR(VLOOKUP(D181,Product_Master!$A$2:$F$13,3,FALSE),"")</f>
        <v>Electronics</v>
      </c>
      <c r="N181" s="4">
        <f t="shared" si="10"/>
        <v>188997</v>
      </c>
      <c r="O181" s="4">
        <f t="shared" si="11"/>
        <v>9449.85</v>
      </c>
      <c r="P181" s="4">
        <f t="shared" si="12"/>
        <v>179547.15</v>
      </c>
      <c r="Q181" s="4">
        <f>G181*IFERROR(VLOOKUP(D181,Product_Master!$A$2:$F$13,6,FALSE),0)</f>
        <v>147000</v>
      </c>
      <c r="R181" s="4">
        <f t="shared" si="13"/>
        <v>32547.149999999994</v>
      </c>
      <c r="S181" s="5">
        <f t="shared" si="14"/>
        <v>0.18127355404973008</v>
      </c>
    </row>
    <row r="182" spans="1:19" x14ac:dyDescent="0.3">
      <c r="A182" t="s">
        <v>233</v>
      </c>
      <c r="B182" s="2">
        <v>45827</v>
      </c>
      <c r="C182" t="s">
        <v>74</v>
      </c>
      <c r="D182" t="s">
        <v>43</v>
      </c>
      <c r="E182" t="str">
        <f>IFERROR(VLOOKUP(C182,Customer_Master!$A$2:$E$16,4,FALSE),"")</f>
        <v>East</v>
      </c>
      <c r="F182" t="str">
        <f>IFERROR(VLOOKUP(C182,Customer_Master!$A$2:$E$16,5,FALSE),"")</f>
        <v>Consumer</v>
      </c>
      <c r="G182">
        <v>4</v>
      </c>
      <c r="H182" s="3">
        <v>0.1</v>
      </c>
      <c r="I182" t="s">
        <v>29</v>
      </c>
      <c r="J182" t="s">
        <v>23</v>
      </c>
      <c r="K182" s="4">
        <f>IFERROR(VLOOKUP(D182,Product_Master!$A$2:$F$13,5,FALSE),0)</f>
        <v>8999</v>
      </c>
      <c r="L182" t="str">
        <f>IFERROR(VLOOKUP(D182,Product_Master!$A$2:$F$13,2,FALSE),"")</f>
        <v>Office Chair</v>
      </c>
      <c r="M182" t="str">
        <f>IFERROR(VLOOKUP(D182,Product_Master!$A$2:$F$13,3,FALSE),"")</f>
        <v>Furniture</v>
      </c>
      <c r="N182" s="4">
        <f t="shared" si="10"/>
        <v>35996</v>
      </c>
      <c r="O182" s="4">
        <f t="shared" si="11"/>
        <v>3599.6000000000004</v>
      </c>
      <c r="P182" s="4">
        <f t="shared" si="12"/>
        <v>32396.400000000001</v>
      </c>
      <c r="Q182" s="4">
        <f>G182*IFERROR(VLOOKUP(D182,Product_Master!$A$2:$F$13,6,FALSE),0)</f>
        <v>24400</v>
      </c>
      <c r="R182" s="4">
        <f t="shared" si="13"/>
        <v>7996.4000000000015</v>
      </c>
      <c r="S182" s="5">
        <f t="shared" si="14"/>
        <v>0.2468298946796558</v>
      </c>
    </row>
    <row r="183" spans="1:19" x14ac:dyDescent="0.3">
      <c r="A183" t="s">
        <v>234</v>
      </c>
      <c r="B183" s="2">
        <v>45706</v>
      </c>
      <c r="C183" t="s">
        <v>25</v>
      </c>
      <c r="D183" t="s">
        <v>70</v>
      </c>
      <c r="E183" t="str">
        <f>IFERROR(VLOOKUP(C183,Customer_Master!$A$2:$E$16,4,FALSE),"")</f>
        <v>South</v>
      </c>
      <c r="F183" t="str">
        <f>IFERROR(VLOOKUP(C183,Customer_Master!$A$2:$E$16,5,FALSE),"")</f>
        <v>Corporate</v>
      </c>
      <c r="G183">
        <v>2</v>
      </c>
      <c r="H183" s="3">
        <v>0.05</v>
      </c>
      <c r="I183" t="s">
        <v>26</v>
      </c>
      <c r="J183" t="s">
        <v>23</v>
      </c>
      <c r="K183" s="4">
        <f>IFERROR(VLOOKUP(D183,Product_Master!$A$2:$F$13,5,FALSE),0)</f>
        <v>2499</v>
      </c>
      <c r="L183" t="str">
        <f>IFERROR(VLOOKUP(D183,Product_Master!$A$2:$F$13,2,FALSE),"")</f>
        <v>USB-C Hub</v>
      </c>
      <c r="M183" t="str">
        <f>IFERROR(VLOOKUP(D183,Product_Master!$A$2:$F$13,3,FALSE),"")</f>
        <v>Accessories</v>
      </c>
      <c r="N183" s="4">
        <f t="shared" si="10"/>
        <v>4998</v>
      </c>
      <c r="O183" s="4">
        <f t="shared" si="11"/>
        <v>249.9</v>
      </c>
      <c r="P183" s="4">
        <f t="shared" si="12"/>
        <v>4748.1000000000004</v>
      </c>
      <c r="Q183" s="4">
        <f>G183*IFERROR(VLOOKUP(D183,Product_Master!$A$2:$F$13,6,FALSE),0)</f>
        <v>2900</v>
      </c>
      <c r="R183" s="4">
        <f t="shared" si="13"/>
        <v>1848.1000000000004</v>
      </c>
      <c r="S183" s="5">
        <f t="shared" si="14"/>
        <v>0.38922937596091073</v>
      </c>
    </row>
    <row r="184" spans="1:19" x14ac:dyDescent="0.3">
      <c r="A184" t="s">
        <v>235</v>
      </c>
      <c r="B184" s="2">
        <v>45895</v>
      </c>
      <c r="C184" t="s">
        <v>32</v>
      </c>
      <c r="D184" t="s">
        <v>38</v>
      </c>
      <c r="E184" t="str">
        <f>IFERROR(VLOOKUP(C184,Customer_Master!$A$2:$E$16,4,FALSE),"")</f>
        <v>East</v>
      </c>
      <c r="F184" t="str">
        <f>IFERROR(VLOOKUP(C184,Customer_Master!$A$2:$E$16,5,FALSE),"")</f>
        <v>Corporate</v>
      </c>
      <c r="G184">
        <v>5</v>
      </c>
      <c r="H184" s="3">
        <v>0</v>
      </c>
      <c r="I184" t="s">
        <v>29</v>
      </c>
      <c r="J184" t="s">
        <v>23</v>
      </c>
      <c r="K184" s="4">
        <f>IFERROR(VLOOKUP(D184,Product_Master!$A$2:$F$13,5,FALSE),0)</f>
        <v>74999</v>
      </c>
      <c r="L184" t="str">
        <f>IFERROR(VLOOKUP(D184,Product_Master!$A$2:$F$13,2,FALSE),"")</f>
        <v>Laptop Pro 14</v>
      </c>
      <c r="M184" t="str">
        <f>IFERROR(VLOOKUP(D184,Product_Master!$A$2:$F$13,3,FALSE),"")</f>
        <v>Electronics</v>
      </c>
      <c r="N184" s="4">
        <f t="shared" si="10"/>
        <v>374995</v>
      </c>
      <c r="O184" s="4">
        <f t="shared" si="11"/>
        <v>0</v>
      </c>
      <c r="P184" s="4">
        <f t="shared" si="12"/>
        <v>374995</v>
      </c>
      <c r="Q184" s="4">
        <f>G184*IFERROR(VLOOKUP(D184,Product_Master!$A$2:$F$13,6,FALSE),0)</f>
        <v>292500</v>
      </c>
      <c r="R184" s="4">
        <f t="shared" si="13"/>
        <v>82495</v>
      </c>
      <c r="S184" s="5">
        <f t="shared" si="14"/>
        <v>0.21998959986133149</v>
      </c>
    </row>
    <row r="185" spans="1:19" x14ac:dyDescent="0.3">
      <c r="A185" t="s">
        <v>236</v>
      </c>
      <c r="B185" s="2">
        <v>45721</v>
      </c>
      <c r="C185" t="s">
        <v>35</v>
      </c>
      <c r="D185" t="s">
        <v>62</v>
      </c>
      <c r="E185" t="str">
        <f>IFERROR(VLOOKUP(C185,Customer_Master!$A$2:$E$16,4,FALSE),"")</f>
        <v>North</v>
      </c>
      <c r="F185" t="str">
        <f>IFERROR(VLOOKUP(C185,Customer_Master!$A$2:$E$16,5,FALSE),"")</f>
        <v>Corporate</v>
      </c>
      <c r="G185">
        <v>4</v>
      </c>
      <c r="H185" s="3">
        <v>0.1</v>
      </c>
      <c r="I185" t="s">
        <v>29</v>
      </c>
      <c r="J185" t="s">
        <v>23</v>
      </c>
      <c r="K185" s="4">
        <f>IFERROR(VLOOKUP(D185,Product_Master!$A$2:$F$13,5,FALSE),0)</f>
        <v>39999</v>
      </c>
      <c r="L185" t="str">
        <f>IFERROR(VLOOKUP(D185,Product_Master!$A$2:$F$13,2,FALSE),"")</f>
        <v>Smartphone X</v>
      </c>
      <c r="M185" t="str">
        <f>IFERROR(VLOOKUP(D185,Product_Master!$A$2:$F$13,3,FALSE),"")</f>
        <v>Electronics</v>
      </c>
      <c r="N185" s="4">
        <f t="shared" si="10"/>
        <v>159996</v>
      </c>
      <c r="O185" s="4">
        <f t="shared" si="11"/>
        <v>15999.6</v>
      </c>
      <c r="P185" s="4">
        <f t="shared" si="12"/>
        <v>143996.4</v>
      </c>
      <c r="Q185" s="4">
        <f>G185*IFERROR(VLOOKUP(D185,Product_Master!$A$2:$F$13,6,FALSE),0)</f>
        <v>120000</v>
      </c>
      <c r="R185" s="4">
        <f t="shared" si="13"/>
        <v>23996.399999999994</v>
      </c>
      <c r="S185" s="5">
        <f t="shared" si="14"/>
        <v>0.16664583281248693</v>
      </c>
    </row>
    <row r="186" spans="1:19" x14ac:dyDescent="0.3">
      <c r="A186" t="s">
        <v>237</v>
      </c>
      <c r="B186" s="2">
        <v>45919</v>
      </c>
      <c r="C186" t="s">
        <v>87</v>
      </c>
      <c r="D186" t="s">
        <v>56</v>
      </c>
      <c r="E186" t="str">
        <f>IFERROR(VLOOKUP(C186,Customer_Master!$A$2:$E$16,4,FALSE),"")</f>
        <v>East</v>
      </c>
      <c r="F186" t="str">
        <f>IFERROR(VLOOKUP(C186,Customer_Master!$A$2:$E$16,5,FALSE),"")</f>
        <v>Small Business</v>
      </c>
      <c r="G186">
        <v>2</v>
      </c>
      <c r="H186" s="3">
        <v>0.05</v>
      </c>
      <c r="I186" t="s">
        <v>26</v>
      </c>
      <c r="J186" t="s">
        <v>23</v>
      </c>
      <c r="K186" s="4">
        <f>IFERROR(VLOOKUP(D186,Product_Master!$A$2:$F$13,5,FALSE),0)</f>
        <v>3499</v>
      </c>
      <c r="L186" t="str">
        <f>IFERROR(VLOOKUP(D186,Product_Master!$A$2:$F$13,2,FALSE),"")</f>
        <v>Bluetooth Speaker</v>
      </c>
      <c r="M186" t="str">
        <f>IFERROR(VLOOKUP(D186,Product_Master!$A$2:$F$13,3,FALSE),"")</f>
        <v>Electronics</v>
      </c>
      <c r="N186" s="4">
        <f t="shared" si="10"/>
        <v>6998</v>
      </c>
      <c r="O186" s="4">
        <f t="shared" si="11"/>
        <v>349.90000000000003</v>
      </c>
      <c r="P186" s="4">
        <f t="shared" si="12"/>
        <v>6648.1</v>
      </c>
      <c r="Q186" s="4">
        <f>G186*IFERROR(VLOOKUP(D186,Product_Master!$A$2:$F$13,6,FALSE),0)</f>
        <v>4100</v>
      </c>
      <c r="R186" s="4">
        <f t="shared" si="13"/>
        <v>2548.1000000000004</v>
      </c>
      <c r="S186" s="5">
        <f t="shared" si="14"/>
        <v>0.38328244159985564</v>
      </c>
    </row>
    <row r="187" spans="1:19" x14ac:dyDescent="0.3">
      <c r="A187" t="s">
        <v>238</v>
      </c>
      <c r="B187" s="2">
        <v>45869</v>
      </c>
      <c r="C187" t="s">
        <v>20</v>
      </c>
      <c r="D187" t="s">
        <v>92</v>
      </c>
      <c r="E187" t="str">
        <f>IFERROR(VLOOKUP(C187,Customer_Master!$A$2:$E$16,4,FALSE),"")</f>
        <v>South</v>
      </c>
      <c r="F187" t="str">
        <f>IFERROR(VLOOKUP(C187,Customer_Master!$A$2:$E$16,5,FALSE),"")</f>
        <v>Small Business</v>
      </c>
      <c r="G187">
        <v>5</v>
      </c>
      <c r="H187" s="3">
        <v>0</v>
      </c>
      <c r="I187" t="s">
        <v>49</v>
      </c>
      <c r="J187" t="s">
        <v>30</v>
      </c>
      <c r="K187" s="4">
        <f>IFERROR(VLOOKUP(D187,Product_Master!$A$2:$F$13,5,FALSE),0)</f>
        <v>4999</v>
      </c>
      <c r="L187" t="str">
        <f>IFERROR(VLOOKUP(D187,Product_Master!$A$2:$F$13,2,FALSE),"")</f>
        <v>Wireless Headphones</v>
      </c>
      <c r="M187" t="str">
        <f>IFERROR(VLOOKUP(D187,Product_Master!$A$2:$F$13,3,FALSE),"")</f>
        <v>Electronics</v>
      </c>
      <c r="N187" s="4">
        <f t="shared" si="10"/>
        <v>24995</v>
      </c>
      <c r="O187" s="4">
        <f t="shared" si="11"/>
        <v>0</v>
      </c>
      <c r="P187" s="4">
        <f t="shared" si="12"/>
        <v>24995</v>
      </c>
      <c r="Q187" s="4">
        <f>G187*IFERROR(VLOOKUP(D187,Product_Master!$A$2:$F$13,6,FALSE),0)</f>
        <v>14500</v>
      </c>
      <c r="R187" s="4">
        <f t="shared" si="13"/>
        <v>10495</v>
      </c>
      <c r="S187" s="5">
        <f t="shared" si="14"/>
        <v>0.41988397679535905</v>
      </c>
    </row>
    <row r="188" spans="1:19" x14ac:dyDescent="0.3">
      <c r="A188" t="s">
        <v>239</v>
      </c>
      <c r="B188" s="2">
        <v>45783</v>
      </c>
      <c r="C188" t="s">
        <v>74</v>
      </c>
      <c r="D188" t="s">
        <v>92</v>
      </c>
      <c r="E188" t="str">
        <f>IFERROR(VLOOKUP(C188,Customer_Master!$A$2:$E$16,4,FALSE),"")</f>
        <v>East</v>
      </c>
      <c r="F188" t="str">
        <f>IFERROR(VLOOKUP(C188,Customer_Master!$A$2:$E$16,5,FALSE),"")</f>
        <v>Consumer</v>
      </c>
      <c r="G188">
        <v>6</v>
      </c>
      <c r="H188" s="3">
        <v>0.15</v>
      </c>
      <c r="I188" t="s">
        <v>22</v>
      </c>
      <c r="J188" t="s">
        <v>23</v>
      </c>
      <c r="K188" s="4">
        <f>IFERROR(VLOOKUP(D188,Product_Master!$A$2:$F$13,5,FALSE),0)</f>
        <v>4999</v>
      </c>
      <c r="L188" t="str">
        <f>IFERROR(VLOOKUP(D188,Product_Master!$A$2:$F$13,2,FALSE),"")</f>
        <v>Wireless Headphones</v>
      </c>
      <c r="M188" t="str">
        <f>IFERROR(VLOOKUP(D188,Product_Master!$A$2:$F$13,3,FALSE),"")</f>
        <v>Electronics</v>
      </c>
      <c r="N188" s="4">
        <f t="shared" si="10"/>
        <v>29994</v>
      </c>
      <c r="O188" s="4">
        <f t="shared" si="11"/>
        <v>4499.0999999999995</v>
      </c>
      <c r="P188" s="4">
        <f t="shared" si="12"/>
        <v>25494.9</v>
      </c>
      <c r="Q188" s="4">
        <f>G188*IFERROR(VLOOKUP(D188,Product_Master!$A$2:$F$13,6,FALSE),0)</f>
        <v>17400</v>
      </c>
      <c r="R188" s="4">
        <f t="shared" si="13"/>
        <v>8094.9000000000015</v>
      </c>
      <c r="S188" s="5">
        <f t="shared" si="14"/>
        <v>0.31751056093571661</v>
      </c>
    </row>
    <row r="189" spans="1:19" x14ac:dyDescent="0.3">
      <c r="A189" t="s">
        <v>240</v>
      </c>
      <c r="B189" s="2">
        <v>45754</v>
      </c>
      <c r="C189" t="s">
        <v>76</v>
      </c>
      <c r="D189" t="s">
        <v>92</v>
      </c>
      <c r="E189" t="str">
        <f>IFERROR(VLOOKUP(C189,Customer_Master!$A$2:$E$16,4,FALSE),"")</f>
        <v>West</v>
      </c>
      <c r="F189" t="str">
        <f>IFERROR(VLOOKUP(C189,Customer_Master!$A$2:$E$16,5,FALSE),"")</f>
        <v>Small Business</v>
      </c>
      <c r="G189">
        <v>3</v>
      </c>
      <c r="H189" s="3">
        <v>0.05</v>
      </c>
      <c r="I189" t="s">
        <v>49</v>
      </c>
      <c r="J189" t="s">
        <v>23</v>
      </c>
      <c r="K189" s="4">
        <f>IFERROR(VLOOKUP(D189,Product_Master!$A$2:$F$13,5,FALSE),0)</f>
        <v>4999</v>
      </c>
      <c r="L189" t="str">
        <f>IFERROR(VLOOKUP(D189,Product_Master!$A$2:$F$13,2,FALSE),"")</f>
        <v>Wireless Headphones</v>
      </c>
      <c r="M189" t="str">
        <f>IFERROR(VLOOKUP(D189,Product_Master!$A$2:$F$13,3,FALSE),"")</f>
        <v>Electronics</v>
      </c>
      <c r="N189" s="4">
        <f t="shared" si="10"/>
        <v>14997</v>
      </c>
      <c r="O189" s="4">
        <f t="shared" si="11"/>
        <v>749.85</v>
      </c>
      <c r="P189" s="4">
        <f t="shared" si="12"/>
        <v>14247.15</v>
      </c>
      <c r="Q189" s="4">
        <f>G189*IFERROR(VLOOKUP(D189,Product_Master!$A$2:$F$13,6,FALSE),0)</f>
        <v>8700</v>
      </c>
      <c r="R189" s="4">
        <f t="shared" si="13"/>
        <v>5547.15</v>
      </c>
      <c r="S189" s="5">
        <f t="shared" si="14"/>
        <v>0.38935155452143061</v>
      </c>
    </row>
    <row r="190" spans="1:19" x14ac:dyDescent="0.3">
      <c r="A190" t="s">
        <v>241</v>
      </c>
      <c r="B190" s="2">
        <v>45762</v>
      </c>
      <c r="C190" t="s">
        <v>40</v>
      </c>
      <c r="D190" t="s">
        <v>56</v>
      </c>
      <c r="E190" t="str">
        <f>IFERROR(VLOOKUP(C190,Customer_Master!$A$2:$E$16,4,FALSE),"")</f>
        <v>West</v>
      </c>
      <c r="F190" t="str">
        <f>IFERROR(VLOOKUP(C190,Customer_Master!$A$2:$E$16,5,FALSE),"")</f>
        <v>Corporate</v>
      </c>
      <c r="G190">
        <v>5</v>
      </c>
      <c r="H190" s="3">
        <v>0.05</v>
      </c>
      <c r="I190" t="s">
        <v>54</v>
      </c>
      <c r="J190" t="s">
        <v>23</v>
      </c>
      <c r="K190" s="4">
        <f>IFERROR(VLOOKUP(D190,Product_Master!$A$2:$F$13,5,FALSE),0)</f>
        <v>3499</v>
      </c>
      <c r="L190" t="str">
        <f>IFERROR(VLOOKUP(D190,Product_Master!$A$2:$F$13,2,FALSE),"")</f>
        <v>Bluetooth Speaker</v>
      </c>
      <c r="M190" t="str">
        <f>IFERROR(VLOOKUP(D190,Product_Master!$A$2:$F$13,3,FALSE),"")</f>
        <v>Electronics</v>
      </c>
      <c r="N190" s="4">
        <f t="shared" si="10"/>
        <v>17495</v>
      </c>
      <c r="O190" s="4">
        <f t="shared" si="11"/>
        <v>874.75</v>
      </c>
      <c r="P190" s="4">
        <f t="shared" si="12"/>
        <v>16620.25</v>
      </c>
      <c r="Q190" s="4">
        <f>G190*IFERROR(VLOOKUP(D190,Product_Master!$A$2:$F$13,6,FALSE),0)</f>
        <v>10250</v>
      </c>
      <c r="R190" s="4">
        <f t="shared" si="13"/>
        <v>6370.25</v>
      </c>
      <c r="S190" s="5">
        <f t="shared" si="14"/>
        <v>0.38328244159985558</v>
      </c>
    </row>
    <row r="191" spans="1:19" x14ac:dyDescent="0.3">
      <c r="A191" t="s">
        <v>242</v>
      </c>
      <c r="B191" s="2">
        <v>45739</v>
      </c>
      <c r="C191" t="s">
        <v>37</v>
      </c>
      <c r="D191" t="s">
        <v>52</v>
      </c>
      <c r="E191" t="str">
        <f>IFERROR(VLOOKUP(C191,Customer_Master!$A$2:$E$16,4,FALSE),"")</f>
        <v>North</v>
      </c>
      <c r="F191" t="str">
        <f>IFERROR(VLOOKUP(C191,Customer_Master!$A$2:$E$16,5,FALSE),"")</f>
        <v>Consumer</v>
      </c>
      <c r="G191">
        <v>3</v>
      </c>
      <c r="H191" s="3">
        <v>0.15</v>
      </c>
      <c r="I191" t="s">
        <v>54</v>
      </c>
      <c r="J191" t="s">
        <v>30</v>
      </c>
      <c r="K191" s="4">
        <f>IFERROR(VLOOKUP(D191,Product_Master!$A$2:$F$13,5,FALSE),0)</f>
        <v>6999</v>
      </c>
      <c r="L191" t="str">
        <f>IFERROR(VLOOKUP(D191,Product_Master!$A$2:$F$13,2,FALSE),"")</f>
        <v>Study Desk</v>
      </c>
      <c r="M191" t="str">
        <f>IFERROR(VLOOKUP(D191,Product_Master!$A$2:$F$13,3,FALSE),"")</f>
        <v>Furniture</v>
      </c>
      <c r="N191" s="4">
        <f t="shared" si="10"/>
        <v>20997</v>
      </c>
      <c r="O191" s="4">
        <f t="shared" si="11"/>
        <v>3149.5499999999997</v>
      </c>
      <c r="P191" s="4">
        <f t="shared" si="12"/>
        <v>17847.45</v>
      </c>
      <c r="Q191" s="4">
        <f>G191*IFERROR(VLOOKUP(D191,Product_Master!$A$2:$F$13,6,FALSE),0)</f>
        <v>13500</v>
      </c>
      <c r="R191" s="4">
        <f t="shared" si="13"/>
        <v>4347.4500000000007</v>
      </c>
      <c r="S191" s="5">
        <f t="shared" si="14"/>
        <v>0.24358942033735914</v>
      </c>
    </row>
    <row r="192" spans="1:19" x14ac:dyDescent="0.3">
      <c r="A192" t="s">
        <v>243</v>
      </c>
      <c r="B192" s="2">
        <v>45971</v>
      </c>
      <c r="C192" t="s">
        <v>61</v>
      </c>
      <c r="D192" t="s">
        <v>92</v>
      </c>
      <c r="E192" t="str">
        <f>IFERROR(VLOOKUP(C192,Customer_Master!$A$2:$E$16,4,FALSE),"")</f>
        <v>South</v>
      </c>
      <c r="F192" t="str">
        <f>IFERROR(VLOOKUP(C192,Customer_Master!$A$2:$E$16,5,FALSE),"")</f>
        <v>Consumer</v>
      </c>
      <c r="G192">
        <v>5</v>
      </c>
      <c r="H192" s="3">
        <v>0.15</v>
      </c>
      <c r="I192" t="s">
        <v>26</v>
      </c>
      <c r="J192" t="s">
        <v>30</v>
      </c>
      <c r="K192" s="4">
        <f>IFERROR(VLOOKUP(D192,Product_Master!$A$2:$F$13,5,FALSE),0)</f>
        <v>4999</v>
      </c>
      <c r="L192" t="str">
        <f>IFERROR(VLOOKUP(D192,Product_Master!$A$2:$F$13,2,FALSE),"")</f>
        <v>Wireless Headphones</v>
      </c>
      <c r="M192" t="str">
        <f>IFERROR(VLOOKUP(D192,Product_Master!$A$2:$F$13,3,FALSE),"")</f>
        <v>Electronics</v>
      </c>
      <c r="N192" s="4">
        <f t="shared" si="10"/>
        <v>24995</v>
      </c>
      <c r="O192" s="4">
        <f t="shared" si="11"/>
        <v>3749.25</v>
      </c>
      <c r="P192" s="4">
        <f t="shared" si="12"/>
        <v>21245.75</v>
      </c>
      <c r="Q192" s="4">
        <f>G192*IFERROR(VLOOKUP(D192,Product_Master!$A$2:$F$13,6,FALSE),0)</f>
        <v>14500</v>
      </c>
      <c r="R192" s="4">
        <f t="shared" si="13"/>
        <v>6745.75</v>
      </c>
      <c r="S192" s="5">
        <f t="shared" si="14"/>
        <v>0.31751056093571656</v>
      </c>
    </row>
    <row r="193" spans="1:19" x14ac:dyDescent="0.3">
      <c r="A193" t="s">
        <v>244</v>
      </c>
      <c r="B193" s="2">
        <v>45922</v>
      </c>
      <c r="C193" t="s">
        <v>74</v>
      </c>
      <c r="D193" t="s">
        <v>41</v>
      </c>
      <c r="E193" t="str">
        <f>IFERROR(VLOOKUP(C193,Customer_Master!$A$2:$E$16,4,FALSE),"")</f>
        <v>East</v>
      </c>
      <c r="F193" t="str">
        <f>IFERROR(VLOOKUP(C193,Customer_Master!$A$2:$E$16,5,FALSE),"")</f>
        <v>Consumer</v>
      </c>
      <c r="G193">
        <v>6</v>
      </c>
      <c r="H193" s="3">
        <v>0.05</v>
      </c>
      <c r="I193" t="s">
        <v>22</v>
      </c>
      <c r="J193" t="s">
        <v>23</v>
      </c>
      <c r="K193" s="4">
        <f>IFERROR(VLOOKUP(D193,Product_Master!$A$2:$F$13,5,FALSE),0)</f>
        <v>24999</v>
      </c>
      <c r="L193" t="str">
        <f>IFERROR(VLOOKUP(D193,Product_Master!$A$2:$F$13,2,FALSE),"")</f>
        <v>Smartphone Lite</v>
      </c>
      <c r="M193" t="str">
        <f>IFERROR(VLOOKUP(D193,Product_Master!$A$2:$F$13,3,FALSE),"")</f>
        <v>Electronics</v>
      </c>
      <c r="N193" s="4">
        <f t="shared" si="10"/>
        <v>149994</v>
      </c>
      <c r="O193" s="4">
        <f t="shared" si="11"/>
        <v>7499.7000000000007</v>
      </c>
      <c r="P193" s="4">
        <f t="shared" si="12"/>
        <v>142494.29999999999</v>
      </c>
      <c r="Q193" s="4">
        <f>G193*IFERROR(VLOOKUP(D193,Product_Master!$A$2:$F$13,6,FALSE),0)</f>
        <v>111000</v>
      </c>
      <c r="R193" s="4">
        <f t="shared" si="13"/>
        <v>31494.299999999988</v>
      </c>
      <c r="S193" s="5">
        <f t="shared" si="14"/>
        <v>0.22102147243784481</v>
      </c>
    </row>
    <row r="194" spans="1:19" x14ac:dyDescent="0.3">
      <c r="A194" t="s">
        <v>245</v>
      </c>
      <c r="B194" s="2">
        <v>45759</v>
      </c>
      <c r="C194" t="s">
        <v>82</v>
      </c>
      <c r="D194" t="s">
        <v>43</v>
      </c>
      <c r="E194" t="str">
        <f>IFERROR(VLOOKUP(C194,Customer_Master!$A$2:$E$16,4,FALSE),"")</f>
        <v>Central</v>
      </c>
      <c r="F194" t="str">
        <f>IFERROR(VLOOKUP(C194,Customer_Master!$A$2:$E$16,5,FALSE),"")</f>
        <v>Small Business</v>
      </c>
      <c r="G194">
        <v>1</v>
      </c>
      <c r="H194" s="3">
        <v>0.05</v>
      </c>
      <c r="I194" t="s">
        <v>26</v>
      </c>
      <c r="J194" t="s">
        <v>23</v>
      </c>
      <c r="K194" s="4">
        <f>IFERROR(VLOOKUP(D194,Product_Master!$A$2:$F$13,5,FALSE),0)</f>
        <v>8999</v>
      </c>
      <c r="L194" t="str">
        <f>IFERROR(VLOOKUP(D194,Product_Master!$A$2:$F$13,2,FALSE),"")</f>
        <v>Office Chair</v>
      </c>
      <c r="M194" t="str">
        <f>IFERROR(VLOOKUP(D194,Product_Master!$A$2:$F$13,3,FALSE),"")</f>
        <v>Furniture</v>
      </c>
      <c r="N194" s="4">
        <f t="shared" ref="N194:N257" si="15">G194*K194</f>
        <v>8999</v>
      </c>
      <c r="O194" s="4">
        <f t="shared" ref="O194:O257" si="16">N194*H194</f>
        <v>449.95000000000005</v>
      </c>
      <c r="P194" s="4">
        <f t="shared" ref="P194:P257" si="17">N194-O194</f>
        <v>8549.0499999999993</v>
      </c>
      <c r="Q194" s="4">
        <f>G194*IFERROR(VLOOKUP(D194,Product_Master!$A$2:$F$13,6,FALSE),0)</f>
        <v>6100</v>
      </c>
      <c r="R194" s="4">
        <f t="shared" ref="R194:R257" si="18">P194-Q194</f>
        <v>2449.0499999999993</v>
      </c>
      <c r="S194" s="5">
        <f t="shared" ref="S194:S257" si="19">IFERROR(R194/P194,0)</f>
        <v>0.2864704265386212</v>
      </c>
    </row>
    <row r="195" spans="1:19" x14ac:dyDescent="0.3">
      <c r="A195" t="s">
        <v>246</v>
      </c>
      <c r="B195" s="2">
        <v>46014</v>
      </c>
      <c r="C195" t="s">
        <v>37</v>
      </c>
      <c r="D195" t="s">
        <v>56</v>
      </c>
      <c r="E195" t="str">
        <f>IFERROR(VLOOKUP(C195,Customer_Master!$A$2:$E$16,4,FALSE),"")</f>
        <v>North</v>
      </c>
      <c r="F195" t="str">
        <f>IFERROR(VLOOKUP(C195,Customer_Master!$A$2:$E$16,5,FALSE),"")</f>
        <v>Consumer</v>
      </c>
      <c r="G195">
        <v>3</v>
      </c>
      <c r="H195" s="3">
        <v>0.05</v>
      </c>
      <c r="I195" t="s">
        <v>29</v>
      </c>
      <c r="J195" t="s">
        <v>23</v>
      </c>
      <c r="K195" s="4">
        <f>IFERROR(VLOOKUP(D195,Product_Master!$A$2:$F$13,5,FALSE),0)</f>
        <v>3499</v>
      </c>
      <c r="L195" t="str">
        <f>IFERROR(VLOOKUP(D195,Product_Master!$A$2:$F$13,2,FALSE),"")</f>
        <v>Bluetooth Speaker</v>
      </c>
      <c r="M195" t="str">
        <f>IFERROR(VLOOKUP(D195,Product_Master!$A$2:$F$13,3,FALSE),"")</f>
        <v>Electronics</v>
      </c>
      <c r="N195" s="4">
        <f t="shared" si="15"/>
        <v>10497</v>
      </c>
      <c r="O195" s="4">
        <f t="shared" si="16"/>
        <v>524.85</v>
      </c>
      <c r="P195" s="4">
        <f t="shared" si="17"/>
        <v>9972.15</v>
      </c>
      <c r="Q195" s="4">
        <f>G195*IFERROR(VLOOKUP(D195,Product_Master!$A$2:$F$13,6,FALSE),0)</f>
        <v>6150</v>
      </c>
      <c r="R195" s="4">
        <f t="shared" si="18"/>
        <v>3822.1499999999996</v>
      </c>
      <c r="S195" s="5">
        <f t="shared" si="19"/>
        <v>0.38328244159985558</v>
      </c>
    </row>
    <row r="196" spans="1:19" x14ac:dyDescent="0.3">
      <c r="A196" t="s">
        <v>247</v>
      </c>
      <c r="B196" s="2">
        <v>45721</v>
      </c>
      <c r="C196" t="s">
        <v>76</v>
      </c>
      <c r="D196" t="s">
        <v>33</v>
      </c>
      <c r="E196" t="str">
        <f>IFERROR(VLOOKUP(C196,Customer_Master!$A$2:$E$16,4,FALSE),"")</f>
        <v>West</v>
      </c>
      <c r="F196" t="str">
        <f>IFERROR(VLOOKUP(C196,Customer_Master!$A$2:$E$16,5,FALSE),"")</f>
        <v>Small Business</v>
      </c>
      <c r="G196">
        <v>4</v>
      </c>
      <c r="H196" s="3">
        <v>0.05</v>
      </c>
      <c r="I196" t="s">
        <v>26</v>
      </c>
      <c r="J196" t="s">
        <v>30</v>
      </c>
      <c r="K196" s="4">
        <f>IFERROR(VLOOKUP(D196,Product_Master!$A$2:$F$13,5,FALSE),0)</f>
        <v>3999</v>
      </c>
      <c r="L196" t="str">
        <f>IFERROR(VLOOKUP(D196,Product_Master!$A$2:$F$13,2,FALSE),"")</f>
        <v>Mechanical Keyboard</v>
      </c>
      <c r="M196" t="str">
        <f>IFERROR(VLOOKUP(D196,Product_Master!$A$2:$F$13,3,FALSE),"")</f>
        <v>Accessories</v>
      </c>
      <c r="N196" s="4">
        <f t="shared" si="15"/>
        <v>15996</v>
      </c>
      <c r="O196" s="4">
        <f t="shared" si="16"/>
        <v>799.80000000000007</v>
      </c>
      <c r="P196" s="4">
        <f t="shared" si="17"/>
        <v>15196.2</v>
      </c>
      <c r="Q196" s="4">
        <f>G196*IFERROR(VLOOKUP(D196,Product_Master!$A$2:$F$13,6,FALSE),0)</f>
        <v>9400</v>
      </c>
      <c r="R196" s="4">
        <f t="shared" si="18"/>
        <v>5796.2000000000007</v>
      </c>
      <c r="S196" s="5">
        <f t="shared" si="19"/>
        <v>0.38142430344428213</v>
      </c>
    </row>
    <row r="197" spans="1:19" x14ac:dyDescent="0.3">
      <c r="A197" t="s">
        <v>248</v>
      </c>
      <c r="B197" s="2">
        <v>45945</v>
      </c>
      <c r="C197" t="s">
        <v>40</v>
      </c>
      <c r="D197" t="s">
        <v>21</v>
      </c>
      <c r="E197" t="str">
        <f>IFERROR(VLOOKUP(C197,Customer_Master!$A$2:$E$16,4,FALSE),"")</f>
        <v>West</v>
      </c>
      <c r="F197" t="str">
        <f>IFERROR(VLOOKUP(C197,Customer_Master!$A$2:$E$16,5,FALSE),"")</f>
        <v>Corporate</v>
      </c>
      <c r="G197">
        <v>1</v>
      </c>
      <c r="H197" s="3">
        <v>0.15</v>
      </c>
      <c r="I197" t="s">
        <v>54</v>
      </c>
      <c r="J197" t="s">
        <v>23</v>
      </c>
      <c r="K197" s="4">
        <f>IFERROR(VLOOKUP(D197,Product_Master!$A$2:$F$13,5,FALSE),0)</f>
        <v>1499</v>
      </c>
      <c r="L197" t="str">
        <f>IFERROR(VLOOKUP(D197,Product_Master!$A$2:$F$13,2,FALSE),"")</f>
        <v>Wireless Mouse</v>
      </c>
      <c r="M197" t="str">
        <f>IFERROR(VLOOKUP(D197,Product_Master!$A$2:$F$13,3,FALSE),"")</f>
        <v>Accessories</v>
      </c>
      <c r="N197" s="4">
        <f t="shared" si="15"/>
        <v>1499</v>
      </c>
      <c r="O197" s="4">
        <f t="shared" si="16"/>
        <v>224.85</v>
      </c>
      <c r="P197" s="4">
        <f t="shared" si="17"/>
        <v>1274.1500000000001</v>
      </c>
      <c r="Q197" s="4">
        <f>G197*IFERROR(VLOOKUP(D197,Product_Master!$A$2:$F$13,6,FALSE),0)</f>
        <v>750</v>
      </c>
      <c r="R197" s="4">
        <f t="shared" si="18"/>
        <v>524.15000000000009</v>
      </c>
      <c r="S197" s="5">
        <f t="shared" si="19"/>
        <v>0.4113722874072912</v>
      </c>
    </row>
    <row r="198" spans="1:19" x14ac:dyDescent="0.3">
      <c r="A198" t="s">
        <v>249</v>
      </c>
      <c r="B198" s="2">
        <v>45829</v>
      </c>
      <c r="C198" t="s">
        <v>87</v>
      </c>
      <c r="D198" t="s">
        <v>52</v>
      </c>
      <c r="E198" t="str">
        <f>IFERROR(VLOOKUP(C198,Customer_Master!$A$2:$E$16,4,FALSE),"")</f>
        <v>East</v>
      </c>
      <c r="F198" t="str">
        <f>IFERROR(VLOOKUP(C198,Customer_Master!$A$2:$E$16,5,FALSE),"")</f>
        <v>Small Business</v>
      </c>
      <c r="G198">
        <v>5</v>
      </c>
      <c r="H198" s="3">
        <v>0.05</v>
      </c>
      <c r="I198" t="s">
        <v>29</v>
      </c>
      <c r="J198" t="s">
        <v>23</v>
      </c>
      <c r="K198" s="4">
        <f>IFERROR(VLOOKUP(D198,Product_Master!$A$2:$F$13,5,FALSE),0)</f>
        <v>6999</v>
      </c>
      <c r="L198" t="str">
        <f>IFERROR(VLOOKUP(D198,Product_Master!$A$2:$F$13,2,FALSE),"")</f>
        <v>Study Desk</v>
      </c>
      <c r="M198" t="str">
        <f>IFERROR(VLOOKUP(D198,Product_Master!$A$2:$F$13,3,FALSE),"")</f>
        <v>Furniture</v>
      </c>
      <c r="N198" s="4">
        <f t="shared" si="15"/>
        <v>34995</v>
      </c>
      <c r="O198" s="4">
        <f t="shared" si="16"/>
        <v>1749.75</v>
      </c>
      <c r="P198" s="4">
        <f t="shared" si="17"/>
        <v>33245.25</v>
      </c>
      <c r="Q198" s="4">
        <f>G198*IFERROR(VLOOKUP(D198,Product_Master!$A$2:$F$13,6,FALSE),0)</f>
        <v>22500</v>
      </c>
      <c r="R198" s="4">
        <f t="shared" si="18"/>
        <v>10745.25</v>
      </c>
      <c r="S198" s="5">
        <f t="shared" si="19"/>
        <v>0.3232115866176371</v>
      </c>
    </row>
    <row r="199" spans="1:19" x14ac:dyDescent="0.3">
      <c r="A199" t="s">
        <v>250</v>
      </c>
      <c r="B199" s="2">
        <v>45844</v>
      </c>
      <c r="C199" t="s">
        <v>76</v>
      </c>
      <c r="D199" t="s">
        <v>43</v>
      </c>
      <c r="E199" t="str">
        <f>IFERROR(VLOOKUP(C199,Customer_Master!$A$2:$E$16,4,FALSE),"")</f>
        <v>West</v>
      </c>
      <c r="F199" t="str">
        <f>IFERROR(VLOOKUP(C199,Customer_Master!$A$2:$E$16,5,FALSE),"")</f>
        <v>Small Business</v>
      </c>
      <c r="G199">
        <v>2</v>
      </c>
      <c r="H199" s="3">
        <v>0.15</v>
      </c>
      <c r="I199" t="s">
        <v>54</v>
      </c>
      <c r="J199" t="s">
        <v>23</v>
      </c>
      <c r="K199" s="4">
        <f>IFERROR(VLOOKUP(D199,Product_Master!$A$2:$F$13,5,FALSE),0)</f>
        <v>8999</v>
      </c>
      <c r="L199" t="str">
        <f>IFERROR(VLOOKUP(D199,Product_Master!$A$2:$F$13,2,FALSE),"")</f>
        <v>Office Chair</v>
      </c>
      <c r="M199" t="str">
        <f>IFERROR(VLOOKUP(D199,Product_Master!$A$2:$F$13,3,FALSE),"")</f>
        <v>Furniture</v>
      </c>
      <c r="N199" s="4">
        <f t="shared" si="15"/>
        <v>17998</v>
      </c>
      <c r="O199" s="4">
        <f t="shared" si="16"/>
        <v>2699.7</v>
      </c>
      <c r="P199" s="4">
        <f t="shared" si="17"/>
        <v>15298.3</v>
      </c>
      <c r="Q199" s="4">
        <f>G199*IFERROR(VLOOKUP(D199,Product_Master!$A$2:$F$13,6,FALSE),0)</f>
        <v>12200</v>
      </c>
      <c r="R199" s="4">
        <f t="shared" si="18"/>
        <v>3098.2999999999993</v>
      </c>
      <c r="S199" s="5">
        <f t="shared" si="19"/>
        <v>0.20252577083728254</v>
      </c>
    </row>
    <row r="200" spans="1:19" x14ac:dyDescent="0.3">
      <c r="A200" t="s">
        <v>251</v>
      </c>
      <c r="B200" s="2">
        <v>45938</v>
      </c>
      <c r="C200" t="s">
        <v>25</v>
      </c>
      <c r="D200" t="s">
        <v>70</v>
      </c>
      <c r="E200" t="str">
        <f>IFERROR(VLOOKUP(C200,Customer_Master!$A$2:$E$16,4,FALSE),"")</f>
        <v>South</v>
      </c>
      <c r="F200" t="str">
        <f>IFERROR(VLOOKUP(C200,Customer_Master!$A$2:$E$16,5,FALSE),"")</f>
        <v>Corporate</v>
      </c>
      <c r="G200">
        <v>1</v>
      </c>
      <c r="H200" s="3">
        <v>0.1</v>
      </c>
      <c r="I200" t="s">
        <v>29</v>
      </c>
      <c r="J200" t="s">
        <v>23</v>
      </c>
      <c r="K200" s="4">
        <f>IFERROR(VLOOKUP(D200,Product_Master!$A$2:$F$13,5,FALSE),0)</f>
        <v>2499</v>
      </c>
      <c r="L200" t="str">
        <f>IFERROR(VLOOKUP(D200,Product_Master!$A$2:$F$13,2,FALSE),"")</f>
        <v>USB-C Hub</v>
      </c>
      <c r="M200" t="str">
        <f>IFERROR(VLOOKUP(D200,Product_Master!$A$2:$F$13,3,FALSE),"")</f>
        <v>Accessories</v>
      </c>
      <c r="N200" s="4">
        <f t="shared" si="15"/>
        <v>2499</v>
      </c>
      <c r="O200" s="4">
        <f t="shared" si="16"/>
        <v>249.9</v>
      </c>
      <c r="P200" s="4">
        <f t="shared" si="17"/>
        <v>2249.1</v>
      </c>
      <c r="Q200" s="4">
        <f>G200*IFERROR(VLOOKUP(D200,Product_Master!$A$2:$F$13,6,FALSE),0)</f>
        <v>1450</v>
      </c>
      <c r="R200" s="4">
        <f t="shared" si="18"/>
        <v>799.09999999999991</v>
      </c>
      <c r="S200" s="5">
        <f t="shared" si="19"/>
        <v>0.35529767462540568</v>
      </c>
    </row>
    <row r="201" spans="1:19" x14ac:dyDescent="0.3">
      <c r="A201" t="s">
        <v>252</v>
      </c>
      <c r="B201" s="2">
        <v>45728</v>
      </c>
      <c r="C201" t="s">
        <v>25</v>
      </c>
      <c r="D201" t="s">
        <v>43</v>
      </c>
      <c r="E201" t="str">
        <f>IFERROR(VLOOKUP(C201,Customer_Master!$A$2:$E$16,4,FALSE),"")</f>
        <v>South</v>
      </c>
      <c r="F201" t="str">
        <f>IFERROR(VLOOKUP(C201,Customer_Master!$A$2:$E$16,5,FALSE),"")</f>
        <v>Corporate</v>
      </c>
      <c r="G201">
        <v>3</v>
      </c>
      <c r="H201" s="3">
        <v>0.1</v>
      </c>
      <c r="I201" t="s">
        <v>22</v>
      </c>
      <c r="J201" t="s">
        <v>30</v>
      </c>
      <c r="K201" s="4">
        <f>IFERROR(VLOOKUP(D201,Product_Master!$A$2:$F$13,5,FALSE),0)</f>
        <v>8999</v>
      </c>
      <c r="L201" t="str">
        <f>IFERROR(VLOOKUP(D201,Product_Master!$A$2:$F$13,2,FALSE),"")</f>
        <v>Office Chair</v>
      </c>
      <c r="M201" t="str">
        <f>IFERROR(VLOOKUP(D201,Product_Master!$A$2:$F$13,3,FALSE),"")</f>
        <v>Furniture</v>
      </c>
      <c r="N201" s="4">
        <f t="shared" si="15"/>
        <v>26997</v>
      </c>
      <c r="O201" s="4">
        <f t="shared" si="16"/>
        <v>2699.7000000000003</v>
      </c>
      <c r="P201" s="4">
        <f t="shared" si="17"/>
        <v>24297.3</v>
      </c>
      <c r="Q201" s="4">
        <f>G201*IFERROR(VLOOKUP(D201,Product_Master!$A$2:$F$13,6,FALSE),0)</f>
        <v>18300</v>
      </c>
      <c r="R201" s="4">
        <f t="shared" si="18"/>
        <v>5997.2999999999993</v>
      </c>
      <c r="S201" s="5">
        <f t="shared" si="19"/>
        <v>0.24682989467965574</v>
      </c>
    </row>
    <row r="202" spans="1:19" x14ac:dyDescent="0.3">
      <c r="A202" t="s">
        <v>253</v>
      </c>
      <c r="B202" s="2">
        <v>45739</v>
      </c>
      <c r="C202" t="s">
        <v>82</v>
      </c>
      <c r="D202" t="s">
        <v>38</v>
      </c>
      <c r="E202" t="str">
        <f>IFERROR(VLOOKUP(C202,Customer_Master!$A$2:$E$16,4,FALSE),"")</f>
        <v>Central</v>
      </c>
      <c r="F202" t="str">
        <f>IFERROR(VLOOKUP(C202,Customer_Master!$A$2:$E$16,5,FALSE),"")</f>
        <v>Small Business</v>
      </c>
      <c r="G202">
        <v>2</v>
      </c>
      <c r="H202" s="3">
        <v>0.1</v>
      </c>
      <c r="I202" t="s">
        <v>49</v>
      </c>
      <c r="J202" t="s">
        <v>23</v>
      </c>
      <c r="K202" s="4">
        <f>IFERROR(VLOOKUP(D202,Product_Master!$A$2:$F$13,5,FALSE),0)</f>
        <v>74999</v>
      </c>
      <c r="L202" t="str">
        <f>IFERROR(VLOOKUP(D202,Product_Master!$A$2:$F$13,2,FALSE),"")</f>
        <v>Laptop Pro 14</v>
      </c>
      <c r="M202" t="str">
        <f>IFERROR(VLOOKUP(D202,Product_Master!$A$2:$F$13,3,FALSE),"")</f>
        <v>Electronics</v>
      </c>
      <c r="N202" s="4">
        <f t="shared" si="15"/>
        <v>149998</v>
      </c>
      <c r="O202" s="4">
        <f t="shared" si="16"/>
        <v>14999.800000000001</v>
      </c>
      <c r="P202" s="4">
        <f t="shared" si="17"/>
        <v>134998.20000000001</v>
      </c>
      <c r="Q202" s="4">
        <f>G202*IFERROR(VLOOKUP(D202,Product_Master!$A$2:$F$13,6,FALSE),0)</f>
        <v>117000</v>
      </c>
      <c r="R202" s="4">
        <f t="shared" si="18"/>
        <v>17998.200000000012</v>
      </c>
      <c r="S202" s="5">
        <f t="shared" si="19"/>
        <v>0.13332177762370173</v>
      </c>
    </row>
    <row r="203" spans="1:19" x14ac:dyDescent="0.3">
      <c r="A203" t="s">
        <v>254</v>
      </c>
      <c r="B203" s="2">
        <v>45855</v>
      </c>
      <c r="C203" t="s">
        <v>25</v>
      </c>
      <c r="D203" t="s">
        <v>21</v>
      </c>
      <c r="E203" t="str">
        <f>IFERROR(VLOOKUP(C203,Customer_Master!$A$2:$E$16,4,FALSE),"")</f>
        <v>South</v>
      </c>
      <c r="F203" t="str">
        <f>IFERROR(VLOOKUP(C203,Customer_Master!$A$2:$E$16,5,FALSE),"")</f>
        <v>Corporate</v>
      </c>
      <c r="G203">
        <v>1</v>
      </c>
      <c r="H203" s="3">
        <v>0.15</v>
      </c>
      <c r="I203" t="s">
        <v>49</v>
      </c>
      <c r="J203" t="s">
        <v>23</v>
      </c>
      <c r="K203" s="4">
        <f>IFERROR(VLOOKUP(D203,Product_Master!$A$2:$F$13,5,FALSE),0)</f>
        <v>1499</v>
      </c>
      <c r="L203" t="str">
        <f>IFERROR(VLOOKUP(D203,Product_Master!$A$2:$F$13,2,FALSE),"")</f>
        <v>Wireless Mouse</v>
      </c>
      <c r="M203" t="str">
        <f>IFERROR(VLOOKUP(D203,Product_Master!$A$2:$F$13,3,FALSE),"")</f>
        <v>Accessories</v>
      </c>
      <c r="N203" s="4">
        <f t="shared" si="15"/>
        <v>1499</v>
      </c>
      <c r="O203" s="4">
        <f t="shared" si="16"/>
        <v>224.85</v>
      </c>
      <c r="P203" s="4">
        <f t="shared" si="17"/>
        <v>1274.1500000000001</v>
      </c>
      <c r="Q203" s="4">
        <f>G203*IFERROR(VLOOKUP(D203,Product_Master!$A$2:$F$13,6,FALSE),0)</f>
        <v>750</v>
      </c>
      <c r="R203" s="4">
        <f t="shared" si="18"/>
        <v>524.15000000000009</v>
      </c>
      <c r="S203" s="5">
        <f t="shared" si="19"/>
        <v>0.4113722874072912</v>
      </c>
    </row>
    <row r="204" spans="1:19" x14ac:dyDescent="0.3">
      <c r="A204" t="s">
        <v>255</v>
      </c>
      <c r="B204" s="2">
        <v>45725</v>
      </c>
      <c r="C204" t="s">
        <v>45</v>
      </c>
      <c r="D204" t="s">
        <v>21</v>
      </c>
      <c r="E204" t="str">
        <f>IFERROR(VLOOKUP(C204,Customer_Master!$A$2:$E$16,4,FALSE),"")</f>
        <v>North</v>
      </c>
      <c r="F204" t="str">
        <f>IFERROR(VLOOKUP(C204,Customer_Master!$A$2:$E$16,5,FALSE),"")</f>
        <v>Consumer</v>
      </c>
      <c r="G204">
        <v>3</v>
      </c>
      <c r="H204" s="3">
        <v>0.05</v>
      </c>
      <c r="I204" t="s">
        <v>22</v>
      </c>
      <c r="J204" t="s">
        <v>23</v>
      </c>
      <c r="K204" s="4">
        <f>IFERROR(VLOOKUP(D204,Product_Master!$A$2:$F$13,5,FALSE),0)</f>
        <v>1499</v>
      </c>
      <c r="L204" t="str">
        <f>IFERROR(VLOOKUP(D204,Product_Master!$A$2:$F$13,2,FALSE),"")</f>
        <v>Wireless Mouse</v>
      </c>
      <c r="M204" t="str">
        <f>IFERROR(VLOOKUP(D204,Product_Master!$A$2:$F$13,3,FALSE),"")</f>
        <v>Accessories</v>
      </c>
      <c r="N204" s="4">
        <f t="shared" si="15"/>
        <v>4497</v>
      </c>
      <c r="O204" s="4">
        <f t="shared" si="16"/>
        <v>224.85000000000002</v>
      </c>
      <c r="P204" s="4">
        <f t="shared" si="17"/>
        <v>4272.1499999999996</v>
      </c>
      <c r="Q204" s="4">
        <f>G204*IFERROR(VLOOKUP(D204,Product_Master!$A$2:$F$13,6,FALSE),0)</f>
        <v>2250</v>
      </c>
      <c r="R204" s="4">
        <f t="shared" si="18"/>
        <v>2022.1499999999996</v>
      </c>
      <c r="S204" s="5">
        <f t="shared" si="19"/>
        <v>0.47333309925915518</v>
      </c>
    </row>
    <row r="205" spans="1:19" x14ac:dyDescent="0.3">
      <c r="A205" t="s">
        <v>256</v>
      </c>
      <c r="B205" s="2">
        <v>45677</v>
      </c>
      <c r="C205" t="s">
        <v>35</v>
      </c>
      <c r="D205" t="s">
        <v>43</v>
      </c>
      <c r="E205" t="str">
        <f>IFERROR(VLOOKUP(C205,Customer_Master!$A$2:$E$16,4,FALSE),"")</f>
        <v>North</v>
      </c>
      <c r="F205" t="str">
        <f>IFERROR(VLOOKUP(C205,Customer_Master!$A$2:$E$16,5,FALSE),"")</f>
        <v>Corporate</v>
      </c>
      <c r="G205">
        <v>6</v>
      </c>
      <c r="H205" s="3">
        <v>0.05</v>
      </c>
      <c r="I205" t="s">
        <v>49</v>
      </c>
      <c r="J205" t="s">
        <v>23</v>
      </c>
      <c r="K205" s="4">
        <f>IFERROR(VLOOKUP(D205,Product_Master!$A$2:$F$13,5,FALSE),0)</f>
        <v>8999</v>
      </c>
      <c r="L205" t="str">
        <f>IFERROR(VLOOKUP(D205,Product_Master!$A$2:$F$13,2,FALSE),"")</f>
        <v>Office Chair</v>
      </c>
      <c r="M205" t="str">
        <f>IFERROR(VLOOKUP(D205,Product_Master!$A$2:$F$13,3,FALSE),"")</f>
        <v>Furniture</v>
      </c>
      <c r="N205" s="4">
        <f t="shared" si="15"/>
        <v>53994</v>
      </c>
      <c r="O205" s="4">
        <f t="shared" si="16"/>
        <v>2699.7000000000003</v>
      </c>
      <c r="P205" s="4">
        <f t="shared" si="17"/>
        <v>51294.3</v>
      </c>
      <c r="Q205" s="4">
        <f>G205*IFERROR(VLOOKUP(D205,Product_Master!$A$2:$F$13,6,FALSE),0)</f>
        <v>36600</v>
      </c>
      <c r="R205" s="4">
        <f t="shared" si="18"/>
        <v>14694.300000000003</v>
      </c>
      <c r="S205" s="5">
        <f t="shared" si="19"/>
        <v>0.28647042653862131</v>
      </c>
    </row>
    <row r="206" spans="1:19" x14ac:dyDescent="0.3">
      <c r="A206" t="s">
        <v>257</v>
      </c>
      <c r="B206" s="2">
        <v>45898</v>
      </c>
      <c r="C206" t="s">
        <v>37</v>
      </c>
      <c r="D206" t="s">
        <v>48</v>
      </c>
      <c r="E206" t="str">
        <f>IFERROR(VLOOKUP(C206,Customer_Master!$A$2:$E$16,4,FALSE),"")</f>
        <v>North</v>
      </c>
      <c r="F206" t="str">
        <f>IFERROR(VLOOKUP(C206,Customer_Master!$A$2:$E$16,5,FALSE),"")</f>
        <v>Consumer</v>
      </c>
      <c r="G206">
        <v>3</v>
      </c>
      <c r="H206" s="3">
        <v>0.1</v>
      </c>
      <c r="I206" t="s">
        <v>22</v>
      </c>
      <c r="J206" t="s">
        <v>30</v>
      </c>
      <c r="K206" s="4">
        <f>IFERROR(VLOOKUP(D206,Product_Master!$A$2:$F$13,5,FALSE),0)</f>
        <v>62999</v>
      </c>
      <c r="L206" t="str">
        <f>IFERROR(VLOOKUP(D206,Product_Master!$A$2:$F$13,2,FALSE),"")</f>
        <v>Laptop Air 13</v>
      </c>
      <c r="M206" t="str">
        <f>IFERROR(VLOOKUP(D206,Product_Master!$A$2:$F$13,3,FALSE),"")</f>
        <v>Electronics</v>
      </c>
      <c r="N206" s="4">
        <f t="shared" si="15"/>
        <v>188997</v>
      </c>
      <c r="O206" s="4">
        <f t="shared" si="16"/>
        <v>18899.7</v>
      </c>
      <c r="P206" s="4">
        <f t="shared" si="17"/>
        <v>170097.3</v>
      </c>
      <c r="Q206" s="4">
        <f>G206*IFERROR(VLOOKUP(D206,Product_Master!$A$2:$F$13,6,FALSE),0)</f>
        <v>147000</v>
      </c>
      <c r="R206" s="4">
        <f t="shared" si="18"/>
        <v>23097.299999999988</v>
      </c>
      <c r="S206" s="5">
        <f t="shared" si="19"/>
        <v>0.13578875149693728</v>
      </c>
    </row>
    <row r="207" spans="1:19" x14ac:dyDescent="0.3">
      <c r="A207" t="s">
        <v>258</v>
      </c>
      <c r="B207" s="2">
        <v>45802</v>
      </c>
      <c r="C207" t="s">
        <v>47</v>
      </c>
      <c r="D207" t="s">
        <v>56</v>
      </c>
      <c r="E207" t="str">
        <f>IFERROR(VLOOKUP(C207,Customer_Master!$A$2:$E$16,4,FALSE),"")</f>
        <v>West</v>
      </c>
      <c r="F207" t="str">
        <f>IFERROR(VLOOKUP(C207,Customer_Master!$A$2:$E$16,5,FALSE),"")</f>
        <v>Corporate</v>
      </c>
      <c r="G207">
        <v>4</v>
      </c>
      <c r="H207" s="3">
        <v>0.1</v>
      </c>
      <c r="I207" t="s">
        <v>49</v>
      </c>
      <c r="J207" t="s">
        <v>23</v>
      </c>
      <c r="K207" s="4">
        <f>IFERROR(VLOOKUP(D207,Product_Master!$A$2:$F$13,5,FALSE),0)</f>
        <v>3499</v>
      </c>
      <c r="L207" t="str">
        <f>IFERROR(VLOOKUP(D207,Product_Master!$A$2:$F$13,2,FALSE),"")</f>
        <v>Bluetooth Speaker</v>
      </c>
      <c r="M207" t="str">
        <f>IFERROR(VLOOKUP(D207,Product_Master!$A$2:$F$13,3,FALSE),"")</f>
        <v>Electronics</v>
      </c>
      <c r="N207" s="4">
        <f t="shared" si="15"/>
        <v>13996</v>
      </c>
      <c r="O207" s="4">
        <f t="shared" si="16"/>
        <v>1399.6000000000001</v>
      </c>
      <c r="P207" s="4">
        <f t="shared" si="17"/>
        <v>12596.4</v>
      </c>
      <c r="Q207" s="4">
        <f>G207*IFERROR(VLOOKUP(D207,Product_Master!$A$2:$F$13,6,FALSE),0)</f>
        <v>8200</v>
      </c>
      <c r="R207" s="4">
        <f t="shared" si="18"/>
        <v>4396.3999999999996</v>
      </c>
      <c r="S207" s="5">
        <f t="shared" si="19"/>
        <v>0.34902035502206979</v>
      </c>
    </row>
    <row r="208" spans="1:19" x14ac:dyDescent="0.3">
      <c r="A208" t="s">
        <v>259</v>
      </c>
      <c r="B208" s="2">
        <v>45716</v>
      </c>
      <c r="C208" t="s">
        <v>102</v>
      </c>
      <c r="D208" t="s">
        <v>70</v>
      </c>
      <c r="E208" t="str">
        <f>IFERROR(VLOOKUP(C208,Customer_Master!$A$2:$E$16,4,FALSE),"")</f>
        <v>West</v>
      </c>
      <c r="F208" t="str">
        <f>IFERROR(VLOOKUP(C208,Customer_Master!$A$2:$E$16,5,FALSE),"")</f>
        <v>Consumer</v>
      </c>
      <c r="G208">
        <v>5</v>
      </c>
      <c r="H208" s="3">
        <v>0.05</v>
      </c>
      <c r="I208" t="s">
        <v>22</v>
      </c>
      <c r="J208" t="s">
        <v>30</v>
      </c>
      <c r="K208" s="4">
        <f>IFERROR(VLOOKUP(D208,Product_Master!$A$2:$F$13,5,FALSE),0)</f>
        <v>2499</v>
      </c>
      <c r="L208" t="str">
        <f>IFERROR(VLOOKUP(D208,Product_Master!$A$2:$F$13,2,FALSE),"")</f>
        <v>USB-C Hub</v>
      </c>
      <c r="M208" t="str">
        <f>IFERROR(VLOOKUP(D208,Product_Master!$A$2:$F$13,3,FALSE),"")</f>
        <v>Accessories</v>
      </c>
      <c r="N208" s="4">
        <f t="shared" si="15"/>
        <v>12495</v>
      </c>
      <c r="O208" s="4">
        <f t="shared" si="16"/>
        <v>624.75</v>
      </c>
      <c r="P208" s="4">
        <f t="shared" si="17"/>
        <v>11870.25</v>
      </c>
      <c r="Q208" s="4">
        <f>G208*IFERROR(VLOOKUP(D208,Product_Master!$A$2:$F$13,6,FALSE),0)</f>
        <v>7250</v>
      </c>
      <c r="R208" s="4">
        <f t="shared" si="18"/>
        <v>4620.25</v>
      </c>
      <c r="S208" s="5">
        <f t="shared" si="19"/>
        <v>0.38922937596091067</v>
      </c>
    </row>
    <row r="209" spans="1:19" x14ac:dyDescent="0.3">
      <c r="A209" t="s">
        <v>260</v>
      </c>
      <c r="B209" s="2">
        <v>45670</v>
      </c>
      <c r="C209" t="s">
        <v>32</v>
      </c>
      <c r="D209" t="s">
        <v>56</v>
      </c>
      <c r="E209" t="str">
        <f>IFERROR(VLOOKUP(C209,Customer_Master!$A$2:$E$16,4,FALSE),"")</f>
        <v>East</v>
      </c>
      <c r="F209" t="str">
        <f>IFERROR(VLOOKUP(C209,Customer_Master!$A$2:$E$16,5,FALSE),"")</f>
        <v>Corporate</v>
      </c>
      <c r="G209">
        <v>3</v>
      </c>
      <c r="H209" s="3">
        <v>0</v>
      </c>
      <c r="I209" t="s">
        <v>54</v>
      </c>
      <c r="J209" t="s">
        <v>30</v>
      </c>
      <c r="K209" s="4">
        <f>IFERROR(VLOOKUP(D209,Product_Master!$A$2:$F$13,5,FALSE),0)</f>
        <v>3499</v>
      </c>
      <c r="L209" t="str">
        <f>IFERROR(VLOOKUP(D209,Product_Master!$A$2:$F$13,2,FALSE),"")</f>
        <v>Bluetooth Speaker</v>
      </c>
      <c r="M209" t="str">
        <f>IFERROR(VLOOKUP(D209,Product_Master!$A$2:$F$13,3,FALSE),"")</f>
        <v>Electronics</v>
      </c>
      <c r="N209" s="4">
        <f t="shared" si="15"/>
        <v>10497</v>
      </c>
      <c r="O209" s="4">
        <f t="shared" si="16"/>
        <v>0</v>
      </c>
      <c r="P209" s="4">
        <f t="shared" si="17"/>
        <v>10497</v>
      </c>
      <c r="Q209" s="4">
        <f>G209*IFERROR(VLOOKUP(D209,Product_Master!$A$2:$F$13,6,FALSE),0)</f>
        <v>6150</v>
      </c>
      <c r="R209" s="4">
        <f t="shared" si="18"/>
        <v>4347</v>
      </c>
      <c r="S209" s="5">
        <f t="shared" si="19"/>
        <v>0.41411831951986283</v>
      </c>
    </row>
    <row r="210" spans="1:19" x14ac:dyDescent="0.3">
      <c r="A210" t="s">
        <v>261</v>
      </c>
      <c r="B210" s="2">
        <v>45850</v>
      </c>
      <c r="C210" t="s">
        <v>87</v>
      </c>
      <c r="D210" t="s">
        <v>56</v>
      </c>
      <c r="E210" t="str">
        <f>IFERROR(VLOOKUP(C210,Customer_Master!$A$2:$E$16,4,FALSE),"")</f>
        <v>East</v>
      </c>
      <c r="F210" t="str">
        <f>IFERROR(VLOOKUP(C210,Customer_Master!$A$2:$E$16,5,FALSE),"")</f>
        <v>Small Business</v>
      </c>
      <c r="G210">
        <v>5</v>
      </c>
      <c r="H210" s="3">
        <v>0.05</v>
      </c>
      <c r="I210" t="s">
        <v>54</v>
      </c>
      <c r="J210" t="s">
        <v>30</v>
      </c>
      <c r="K210" s="4">
        <f>IFERROR(VLOOKUP(D210,Product_Master!$A$2:$F$13,5,FALSE),0)</f>
        <v>3499</v>
      </c>
      <c r="L210" t="str">
        <f>IFERROR(VLOOKUP(D210,Product_Master!$A$2:$F$13,2,FALSE),"")</f>
        <v>Bluetooth Speaker</v>
      </c>
      <c r="M210" t="str">
        <f>IFERROR(VLOOKUP(D210,Product_Master!$A$2:$F$13,3,FALSE),"")</f>
        <v>Electronics</v>
      </c>
      <c r="N210" s="4">
        <f t="shared" si="15"/>
        <v>17495</v>
      </c>
      <c r="O210" s="4">
        <f t="shared" si="16"/>
        <v>874.75</v>
      </c>
      <c r="P210" s="4">
        <f t="shared" si="17"/>
        <v>16620.25</v>
      </c>
      <c r="Q210" s="4">
        <f>G210*IFERROR(VLOOKUP(D210,Product_Master!$A$2:$F$13,6,FALSE),0)</f>
        <v>10250</v>
      </c>
      <c r="R210" s="4">
        <f t="shared" si="18"/>
        <v>6370.25</v>
      </c>
      <c r="S210" s="5">
        <f t="shared" si="19"/>
        <v>0.38328244159985558</v>
      </c>
    </row>
    <row r="211" spans="1:19" x14ac:dyDescent="0.3">
      <c r="A211" t="s">
        <v>262</v>
      </c>
      <c r="B211" s="2">
        <v>45783</v>
      </c>
      <c r="C211" t="s">
        <v>87</v>
      </c>
      <c r="D211" t="s">
        <v>48</v>
      </c>
      <c r="E211" t="str">
        <f>IFERROR(VLOOKUP(C211,Customer_Master!$A$2:$E$16,4,FALSE),"")</f>
        <v>East</v>
      </c>
      <c r="F211" t="str">
        <f>IFERROR(VLOOKUP(C211,Customer_Master!$A$2:$E$16,5,FALSE),"")</f>
        <v>Small Business</v>
      </c>
      <c r="G211">
        <v>1</v>
      </c>
      <c r="H211" s="3">
        <v>0.1</v>
      </c>
      <c r="I211" t="s">
        <v>26</v>
      </c>
      <c r="J211" t="s">
        <v>30</v>
      </c>
      <c r="K211" s="4">
        <f>IFERROR(VLOOKUP(D211,Product_Master!$A$2:$F$13,5,FALSE),0)</f>
        <v>62999</v>
      </c>
      <c r="L211" t="str">
        <f>IFERROR(VLOOKUP(D211,Product_Master!$A$2:$F$13,2,FALSE),"")</f>
        <v>Laptop Air 13</v>
      </c>
      <c r="M211" t="str">
        <f>IFERROR(VLOOKUP(D211,Product_Master!$A$2:$F$13,3,FALSE),"")</f>
        <v>Electronics</v>
      </c>
      <c r="N211" s="4">
        <f t="shared" si="15"/>
        <v>62999</v>
      </c>
      <c r="O211" s="4">
        <f t="shared" si="16"/>
        <v>6299.9000000000005</v>
      </c>
      <c r="P211" s="4">
        <f t="shared" si="17"/>
        <v>56699.1</v>
      </c>
      <c r="Q211" s="4">
        <f>G211*IFERROR(VLOOKUP(D211,Product_Master!$A$2:$F$13,6,FALSE),0)</f>
        <v>49000</v>
      </c>
      <c r="R211" s="4">
        <f t="shared" si="18"/>
        <v>7699.0999999999985</v>
      </c>
      <c r="S211" s="5">
        <f t="shared" si="19"/>
        <v>0.13578875149693731</v>
      </c>
    </row>
    <row r="212" spans="1:19" x14ac:dyDescent="0.3">
      <c r="A212" t="s">
        <v>263</v>
      </c>
      <c r="B212" s="2">
        <v>45684</v>
      </c>
      <c r="C212" t="s">
        <v>65</v>
      </c>
      <c r="D212" t="s">
        <v>56</v>
      </c>
      <c r="E212" t="str">
        <f>IFERROR(VLOOKUP(C212,Customer_Master!$A$2:$E$16,4,FALSE),"")</f>
        <v>Central</v>
      </c>
      <c r="F212" t="str">
        <f>IFERROR(VLOOKUP(C212,Customer_Master!$A$2:$E$16,5,FALSE),"")</f>
        <v>Consumer</v>
      </c>
      <c r="G212">
        <v>4</v>
      </c>
      <c r="H212" s="3">
        <v>0</v>
      </c>
      <c r="I212" t="s">
        <v>22</v>
      </c>
      <c r="J212" t="s">
        <v>23</v>
      </c>
      <c r="K212" s="4">
        <f>IFERROR(VLOOKUP(D212,Product_Master!$A$2:$F$13,5,FALSE),0)</f>
        <v>3499</v>
      </c>
      <c r="L212" t="str">
        <f>IFERROR(VLOOKUP(D212,Product_Master!$A$2:$F$13,2,FALSE),"")</f>
        <v>Bluetooth Speaker</v>
      </c>
      <c r="M212" t="str">
        <f>IFERROR(VLOOKUP(D212,Product_Master!$A$2:$F$13,3,FALSE),"")</f>
        <v>Electronics</v>
      </c>
      <c r="N212" s="4">
        <f t="shared" si="15"/>
        <v>13996</v>
      </c>
      <c r="O212" s="4">
        <f t="shared" si="16"/>
        <v>0</v>
      </c>
      <c r="P212" s="4">
        <f t="shared" si="17"/>
        <v>13996</v>
      </c>
      <c r="Q212" s="4">
        <f>G212*IFERROR(VLOOKUP(D212,Product_Master!$A$2:$F$13,6,FALSE),0)</f>
        <v>8200</v>
      </c>
      <c r="R212" s="4">
        <f t="shared" si="18"/>
        <v>5796</v>
      </c>
      <c r="S212" s="5">
        <f t="shared" si="19"/>
        <v>0.41411831951986283</v>
      </c>
    </row>
    <row r="213" spans="1:19" x14ac:dyDescent="0.3">
      <c r="A213" t="s">
        <v>264</v>
      </c>
      <c r="B213" s="2">
        <v>45994</v>
      </c>
      <c r="C213" t="s">
        <v>40</v>
      </c>
      <c r="D213" t="s">
        <v>28</v>
      </c>
      <c r="E213" t="str">
        <f>IFERROR(VLOOKUP(C213,Customer_Master!$A$2:$E$16,4,FALSE),"")</f>
        <v>West</v>
      </c>
      <c r="F213" t="str">
        <f>IFERROR(VLOOKUP(C213,Customer_Master!$A$2:$E$16,5,FALSE),"")</f>
        <v>Corporate</v>
      </c>
      <c r="G213">
        <v>4</v>
      </c>
      <c r="H213" s="3">
        <v>0.05</v>
      </c>
      <c r="I213" t="s">
        <v>29</v>
      </c>
      <c r="J213" t="s">
        <v>23</v>
      </c>
      <c r="K213" s="4">
        <f>IFERROR(VLOOKUP(D213,Product_Master!$A$2:$F$13,5,FALSE),0)</f>
        <v>28999</v>
      </c>
      <c r="L213" t="str">
        <f>IFERROR(VLOOKUP(D213,Product_Master!$A$2:$F$13,2,FALSE),"")</f>
        <v>Tablet Plus</v>
      </c>
      <c r="M213" t="str">
        <f>IFERROR(VLOOKUP(D213,Product_Master!$A$2:$F$13,3,FALSE),"")</f>
        <v>Electronics</v>
      </c>
      <c r="N213" s="4">
        <f t="shared" si="15"/>
        <v>115996</v>
      </c>
      <c r="O213" s="4">
        <f t="shared" si="16"/>
        <v>5799.8</v>
      </c>
      <c r="P213" s="4">
        <f t="shared" si="17"/>
        <v>110196.2</v>
      </c>
      <c r="Q213" s="4">
        <f>G213*IFERROR(VLOOKUP(D213,Product_Master!$A$2:$F$13,6,FALSE),0)</f>
        <v>86000</v>
      </c>
      <c r="R213" s="4">
        <f t="shared" si="18"/>
        <v>24196.199999999997</v>
      </c>
      <c r="S213" s="5">
        <f t="shared" si="19"/>
        <v>0.21957381470504425</v>
      </c>
    </row>
    <row r="214" spans="1:19" x14ac:dyDescent="0.3">
      <c r="A214" t="s">
        <v>265</v>
      </c>
      <c r="B214" s="2">
        <v>45873</v>
      </c>
      <c r="C214" t="s">
        <v>65</v>
      </c>
      <c r="D214" t="s">
        <v>21</v>
      </c>
      <c r="E214" t="str">
        <f>IFERROR(VLOOKUP(C214,Customer_Master!$A$2:$E$16,4,FALSE),"")</f>
        <v>Central</v>
      </c>
      <c r="F214" t="str">
        <f>IFERROR(VLOOKUP(C214,Customer_Master!$A$2:$E$16,5,FALSE),"")</f>
        <v>Consumer</v>
      </c>
      <c r="G214">
        <v>5</v>
      </c>
      <c r="H214" s="3">
        <v>0.05</v>
      </c>
      <c r="I214" t="s">
        <v>26</v>
      </c>
      <c r="J214" t="s">
        <v>23</v>
      </c>
      <c r="K214" s="4">
        <f>IFERROR(VLOOKUP(D214,Product_Master!$A$2:$F$13,5,FALSE),0)</f>
        <v>1499</v>
      </c>
      <c r="L214" t="str">
        <f>IFERROR(VLOOKUP(D214,Product_Master!$A$2:$F$13,2,FALSE),"")</f>
        <v>Wireless Mouse</v>
      </c>
      <c r="M214" t="str">
        <f>IFERROR(VLOOKUP(D214,Product_Master!$A$2:$F$13,3,FALSE),"")</f>
        <v>Accessories</v>
      </c>
      <c r="N214" s="4">
        <f t="shared" si="15"/>
        <v>7495</v>
      </c>
      <c r="O214" s="4">
        <f t="shared" si="16"/>
        <v>374.75</v>
      </c>
      <c r="P214" s="4">
        <f t="shared" si="17"/>
        <v>7120.25</v>
      </c>
      <c r="Q214" s="4">
        <f>G214*IFERROR(VLOOKUP(D214,Product_Master!$A$2:$F$13,6,FALSE),0)</f>
        <v>3750</v>
      </c>
      <c r="R214" s="4">
        <f t="shared" si="18"/>
        <v>3370.25</v>
      </c>
      <c r="S214" s="5">
        <f t="shared" si="19"/>
        <v>0.47333309925915523</v>
      </c>
    </row>
    <row r="215" spans="1:19" x14ac:dyDescent="0.3">
      <c r="A215" t="s">
        <v>266</v>
      </c>
      <c r="B215" s="2">
        <v>45694</v>
      </c>
      <c r="C215" t="s">
        <v>37</v>
      </c>
      <c r="D215" t="s">
        <v>48</v>
      </c>
      <c r="E215" t="str">
        <f>IFERROR(VLOOKUP(C215,Customer_Master!$A$2:$E$16,4,FALSE),"")</f>
        <v>North</v>
      </c>
      <c r="F215" t="str">
        <f>IFERROR(VLOOKUP(C215,Customer_Master!$A$2:$E$16,5,FALSE),"")</f>
        <v>Consumer</v>
      </c>
      <c r="G215">
        <v>1</v>
      </c>
      <c r="H215" s="3">
        <v>0.15</v>
      </c>
      <c r="I215" t="s">
        <v>26</v>
      </c>
      <c r="J215" t="s">
        <v>23</v>
      </c>
      <c r="K215" s="4">
        <f>IFERROR(VLOOKUP(D215,Product_Master!$A$2:$F$13,5,FALSE),0)</f>
        <v>62999</v>
      </c>
      <c r="L215" t="str">
        <f>IFERROR(VLOOKUP(D215,Product_Master!$A$2:$F$13,2,FALSE),"")</f>
        <v>Laptop Air 13</v>
      </c>
      <c r="M215" t="str">
        <f>IFERROR(VLOOKUP(D215,Product_Master!$A$2:$F$13,3,FALSE),"")</f>
        <v>Electronics</v>
      </c>
      <c r="N215" s="4">
        <f t="shared" si="15"/>
        <v>62999</v>
      </c>
      <c r="O215" s="4">
        <f t="shared" si="16"/>
        <v>9449.85</v>
      </c>
      <c r="P215" s="4">
        <f t="shared" si="17"/>
        <v>53549.15</v>
      </c>
      <c r="Q215" s="4">
        <f>G215*IFERROR(VLOOKUP(D215,Product_Master!$A$2:$F$13,6,FALSE),0)</f>
        <v>49000</v>
      </c>
      <c r="R215" s="4">
        <f t="shared" si="18"/>
        <v>4549.1500000000015</v>
      </c>
      <c r="S215" s="5">
        <f t="shared" si="19"/>
        <v>8.4952795702639569E-2</v>
      </c>
    </row>
    <row r="216" spans="1:19" x14ac:dyDescent="0.3">
      <c r="A216" t="s">
        <v>267</v>
      </c>
      <c r="B216" s="2">
        <v>45952</v>
      </c>
      <c r="C216" t="s">
        <v>87</v>
      </c>
      <c r="D216" t="s">
        <v>21</v>
      </c>
      <c r="E216" t="str">
        <f>IFERROR(VLOOKUP(C216,Customer_Master!$A$2:$E$16,4,FALSE),"")</f>
        <v>East</v>
      </c>
      <c r="F216" t="str">
        <f>IFERROR(VLOOKUP(C216,Customer_Master!$A$2:$E$16,5,FALSE),"")</f>
        <v>Small Business</v>
      </c>
      <c r="G216">
        <v>4</v>
      </c>
      <c r="H216" s="3">
        <v>0</v>
      </c>
      <c r="I216" t="s">
        <v>54</v>
      </c>
      <c r="J216" t="s">
        <v>23</v>
      </c>
      <c r="K216" s="4">
        <f>IFERROR(VLOOKUP(D216,Product_Master!$A$2:$F$13,5,FALSE),0)</f>
        <v>1499</v>
      </c>
      <c r="L216" t="str">
        <f>IFERROR(VLOOKUP(D216,Product_Master!$A$2:$F$13,2,FALSE),"")</f>
        <v>Wireless Mouse</v>
      </c>
      <c r="M216" t="str">
        <f>IFERROR(VLOOKUP(D216,Product_Master!$A$2:$F$13,3,FALSE),"")</f>
        <v>Accessories</v>
      </c>
      <c r="N216" s="4">
        <f t="shared" si="15"/>
        <v>5996</v>
      </c>
      <c r="O216" s="4">
        <f t="shared" si="16"/>
        <v>0</v>
      </c>
      <c r="P216" s="4">
        <f t="shared" si="17"/>
        <v>5996</v>
      </c>
      <c r="Q216" s="4">
        <f>G216*IFERROR(VLOOKUP(D216,Product_Master!$A$2:$F$13,6,FALSE),0)</f>
        <v>3000</v>
      </c>
      <c r="R216" s="4">
        <f t="shared" si="18"/>
        <v>2996</v>
      </c>
      <c r="S216" s="5">
        <f t="shared" si="19"/>
        <v>0.49966644429619744</v>
      </c>
    </row>
    <row r="217" spans="1:19" x14ac:dyDescent="0.3">
      <c r="A217" t="s">
        <v>268</v>
      </c>
      <c r="B217" s="2">
        <v>45670</v>
      </c>
      <c r="C217" t="s">
        <v>74</v>
      </c>
      <c r="D217" t="s">
        <v>28</v>
      </c>
      <c r="E217" t="str">
        <f>IFERROR(VLOOKUP(C217,Customer_Master!$A$2:$E$16,4,FALSE),"")</f>
        <v>East</v>
      </c>
      <c r="F217" t="str">
        <f>IFERROR(VLOOKUP(C217,Customer_Master!$A$2:$E$16,5,FALSE),"")</f>
        <v>Consumer</v>
      </c>
      <c r="G217">
        <v>3</v>
      </c>
      <c r="H217" s="3">
        <v>0.05</v>
      </c>
      <c r="I217" t="s">
        <v>29</v>
      </c>
      <c r="J217" t="s">
        <v>23</v>
      </c>
      <c r="K217" s="4">
        <f>IFERROR(VLOOKUP(D217,Product_Master!$A$2:$F$13,5,FALSE),0)</f>
        <v>28999</v>
      </c>
      <c r="L217" t="str">
        <f>IFERROR(VLOOKUP(D217,Product_Master!$A$2:$F$13,2,FALSE),"")</f>
        <v>Tablet Plus</v>
      </c>
      <c r="M217" t="str">
        <f>IFERROR(VLOOKUP(D217,Product_Master!$A$2:$F$13,3,FALSE),"")</f>
        <v>Electronics</v>
      </c>
      <c r="N217" s="4">
        <f t="shared" si="15"/>
        <v>86997</v>
      </c>
      <c r="O217" s="4">
        <f t="shared" si="16"/>
        <v>4349.8500000000004</v>
      </c>
      <c r="P217" s="4">
        <f t="shared" si="17"/>
        <v>82647.149999999994</v>
      </c>
      <c r="Q217" s="4">
        <f>G217*IFERROR(VLOOKUP(D217,Product_Master!$A$2:$F$13,6,FALSE),0)</f>
        <v>64500</v>
      </c>
      <c r="R217" s="4">
        <f t="shared" si="18"/>
        <v>18147.149999999994</v>
      </c>
      <c r="S217" s="5">
        <f t="shared" si="19"/>
        <v>0.21957381470504422</v>
      </c>
    </row>
    <row r="218" spans="1:19" x14ac:dyDescent="0.3">
      <c r="A218" t="s">
        <v>269</v>
      </c>
      <c r="B218" s="2">
        <v>45929</v>
      </c>
      <c r="C218" t="s">
        <v>87</v>
      </c>
      <c r="D218" t="s">
        <v>33</v>
      </c>
      <c r="E218" t="str">
        <f>IFERROR(VLOOKUP(C218,Customer_Master!$A$2:$E$16,4,FALSE),"")</f>
        <v>East</v>
      </c>
      <c r="F218" t="str">
        <f>IFERROR(VLOOKUP(C218,Customer_Master!$A$2:$E$16,5,FALSE),"")</f>
        <v>Small Business</v>
      </c>
      <c r="G218">
        <v>4</v>
      </c>
      <c r="H218" s="3">
        <v>0.05</v>
      </c>
      <c r="I218" t="s">
        <v>54</v>
      </c>
      <c r="J218" t="s">
        <v>30</v>
      </c>
      <c r="K218" s="4">
        <f>IFERROR(VLOOKUP(D218,Product_Master!$A$2:$F$13,5,FALSE),0)</f>
        <v>3999</v>
      </c>
      <c r="L218" t="str">
        <f>IFERROR(VLOOKUP(D218,Product_Master!$A$2:$F$13,2,FALSE),"")</f>
        <v>Mechanical Keyboard</v>
      </c>
      <c r="M218" t="str">
        <f>IFERROR(VLOOKUP(D218,Product_Master!$A$2:$F$13,3,FALSE),"")</f>
        <v>Accessories</v>
      </c>
      <c r="N218" s="4">
        <f t="shared" si="15"/>
        <v>15996</v>
      </c>
      <c r="O218" s="4">
        <f t="shared" si="16"/>
        <v>799.80000000000007</v>
      </c>
      <c r="P218" s="4">
        <f t="shared" si="17"/>
        <v>15196.2</v>
      </c>
      <c r="Q218" s="4">
        <f>G218*IFERROR(VLOOKUP(D218,Product_Master!$A$2:$F$13,6,FALSE),0)</f>
        <v>9400</v>
      </c>
      <c r="R218" s="4">
        <f t="shared" si="18"/>
        <v>5796.2000000000007</v>
      </c>
      <c r="S218" s="5">
        <f t="shared" si="19"/>
        <v>0.38142430344428213</v>
      </c>
    </row>
    <row r="219" spans="1:19" x14ac:dyDescent="0.3">
      <c r="A219" t="s">
        <v>270</v>
      </c>
      <c r="B219" s="2">
        <v>45814</v>
      </c>
      <c r="C219" t="s">
        <v>61</v>
      </c>
      <c r="D219" t="s">
        <v>38</v>
      </c>
      <c r="E219" t="str">
        <f>IFERROR(VLOOKUP(C219,Customer_Master!$A$2:$E$16,4,FALSE),"")</f>
        <v>South</v>
      </c>
      <c r="F219" t="str">
        <f>IFERROR(VLOOKUP(C219,Customer_Master!$A$2:$E$16,5,FALSE),"")</f>
        <v>Consumer</v>
      </c>
      <c r="G219">
        <v>1</v>
      </c>
      <c r="H219" s="3">
        <v>0.1</v>
      </c>
      <c r="I219" t="s">
        <v>54</v>
      </c>
      <c r="J219" t="s">
        <v>23</v>
      </c>
      <c r="K219" s="4">
        <f>IFERROR(VLOOKUP(D219,Product_Master!$A$2:$F$13,5,FALSE),0)</f>
        <v>74999</v>
      </c>
      <c r="L219" t="str">
        <f>IFERROR(VLOOKUP(D219,Product_Master!$A$2:$F$13,2,FALSE),"")</f>
        <v>Laptop Pro 14</v>
      </c>
      <c r="M219" t="str">
        <f>IFERROR(VLOOKUP(D219,Product_Master!$A$2:$F$13,3,FALSE),"")</f>
        <v>Electronics</v>
      </c>
      <c r="N219" s="4">
        <f t="shared" si="15"/>
        <v>74999</v>
      </c>
      <c r="O219" s="4">
        <f t="shared" si="16"/>
        <v>7499.9000000000005</v>
      </c>
      <c r="P219" s="4">
        <f t="shared" si="17"/>
        <v>67499.100000000006</v>
      </c>
      <c r="Q219" s="4">
        <f>G219*IFERROR(VLOOKUP(D219,Product_Master!$A$2:$F$13,6,FALSE),0)</f>
        <v>58500</v>
      </c>
      <c r="R219" s="4">
        <f t="shared" si="18"/>
        <v>8999.1000000000058</v>
      </c>
      <c r="S219" s="5">
        <f t="shared" si="19"/>
        <v>0.13332177762370173</v>
      </c>
    </row>
    <row r="220" spans="1:19" x14ac:dyDescent="0.3">
      <c r="A220" t="s">
        <v>271</v>
      </c>
      <c r="B220" s="2">
        <v>45731</v>
      </c>
      <c r="C220" t="s">
        <v>45</v>
      </c>
      <c r="D220" t="s">
        <v>33</v>
      </c>
      <c r="E220" t="str">
        <f>IFERROR(VLOOKUP(C220,Customer_Master!$A$2:$E$16,4,FALSE),"")</f>
        <v>North</v>
      </c>
      <c r="F220" t="str">
        <f>IFERROR(VLOOKUP(C220,Customer_Master!$A$2:$E$16,5,FALSE),"")</f>
        <v>Consumer</v>
      </c>
      <c r="G220">
        <v>4</v>
      </c>
      <c r="H220" s="3">
        <v>0.05</v>
      </c>
      <c r="I220" t="s">
        <v>26</v>
      </c>
      <c r="J220" t="s">
        <v>23</v>
      </c>
      <c r="K220" s="4">
        <f>IFERROR(VLOOKUP(D220,Product_Master!$A$2:$F$13,5,FALSE),0)</f>
        <v>3999</v>
      </c>
      <c r="L220" t="str">
        <f>IFERROR(VLOOKUP(D220,Product_Master!$A$2:$F$13,2,FALSE),"")</f>
        <v>Mechanical Keyboard</v>
      </c>
      <c r="M220" t="str">
        <f>IFERROR(VLOOKUP(D220,Product_Master!$A$2:$F$13,3,FALSE),"")</f>
        <v>Accessories</v>
      </c>
      <c r="N220" s="4">
        <f t="shared" si="15"/>
        <v>15996</v>
      </c>
      <c r="O220" s="4">
        <f t="shared" si="16"/>
        <v>799.80000000000007</v>
      </c>
      <c r="P220" s="4">
        <f t="shared" si="17"/>
        <v>15196.2</v>
      </c>
      <c r="Q220" s="4">
        <f>G220*IFERROR(VLOOKUP(D220,Product_Master!$A$2:$F$13,6,FALSE),0)</f>
        <v>9400</v>
      </c>
      <c r="R220" s="4">
        <f t="shared" si="18"/>
        <v>5796.2000000000007</v>
      </c>
      <c r="S220" s="5">
        <f t="shared" si="19"/>
        <v>0.38142430344428213</v>
      </c>
    </row>
    <row r="221" spans="1:19" x14ac:dyDescent="0.3">
      <c r="A221" t="s">
        <v>272</v>
      </c>
      <c r="B221" s="2">
        <v>45688</v>
      </c>
      <c r="C221" t="s">
        <v>65</v>
      </c>
      <c r="D221" t="s">
        <v>52</v>
      </c>
      <c r="E221" t="str">
        <f>IFERROR(VLOOKUP(C221,Customer_Master!$A$2:$E$16,4,FALSE),"")</f>
        <v>Central</v>
      </c>
      <c r="F221" t="str">
        <f>IFERROR(VLOOKUP(C221,Customer_Master!$A$2:$E$16,5,FALSE),"")</f>
        <v>Consumer</v>
      </c>
      <c r="G221">
        <v>2</v>
      </c>
      <c r="H221" s="3">
        <v>0.05</v>
      </c>
      <c r="I221" t="s">
        <v>54</v>
      </c>
      <c r="J221" t="s">
        <v>23</v>
      </c>
      <c r="K221" s="4">
        <f>IFERROR(VLOOKUP(D221,Product_Master!$A$2:$F$13,5,FALSE),0)</f>
        <v>6999</v>
      </c>
      <c r="L221" t="str">
        <f>IFERROR(VLOOKUP(D221,Product_Master!$A$2:$F$13,2,FALSE),"")</f>
        <v>Study Desk</v>
      </c>
      <c r="M221" t="str">
        <f>IFERROR(VLOOKUP(D221,Product_Master!$A$2:$F$13,3,FALSE),"")</f>
        <v>Furniture</v>
      </c>
      <c r="N221" s="4">
        <f t="shared" si="15"/>
        <v>13998</v>
      </c>
      <c r="O221" s="4">
        <f t="shared" si="16"/>
        <v>699.90000000000009</v>
      </c>
      <c r="P221" s="4">
        <f t="shared" si="17"/>
        <v>13298.1</v>
      </c>
      <c r="Q221" s="4">
        <f>G221*IFERROR(VLOOKUP(D221,Product_Master!$A$2:$F$13,6,FALSE),0)</f>
        <v>9000</v>
      </c>
      <c r="R221" s="4">
        <f t="shared" si="18"/>
        <v>4298.1000000000004</v>
      </c>
      <c r="S221" s="5">
        <f t="shared" si="19"/>
        <v>0.3232115866176371</v>
      </c>
    </row>
    <row r="222" spans="1:19" x14ac:dyDescent="0.3">
      <c r="A222" t="s">
        <v>273</v>
      </c>
      <c r="B222" s="2">
        <v>45983</v>
      </c>
      <c r="C222" t="s">
        <v>35</v>
      </c>
      <c r="D222" t="s">
        <v>62</v>
      </c>
      <c r="E222" t="str">
        <f>IFERROR(VLOOKUP(C222,Customer_Master!$A$2:$E$16,4,FALSE),"")</f>
        <v>North</v>
      </c>
      <c r="F222" t="str">
        <f>IFERROR(VLOOKUP(C222,Customer_Master!$A$2:$E$16,5,FALSE),"")</f>
        <v>Corporate</v>
      </c>
      <c r="G222">
        <v>6</v>
      </c>
      <c r="H222" s="3">
        <v>0.15</v>
      </c>
      <c r="I222" t="s">
        <v>26</v>
      </c>
      <c r="J222" t="s">
        <v>30</v>
      </c>
      <c r="K222" s="4">
        <f>IFERROR(VLOOKUP(D222,Product_Master!$A$2:$F$13,5,FALSE),0)</f>
        <v>39999</v>
      </c>
      <c r="L222" t="str">
        <f>IFERROR(VLOOKUP(D222,Product_Master!$A$2:$F$13,2,FALSE),"")</f>
        <v>Smartphone X</v>
      </c>
      <c r="M222" t="str">
        <f>IFERROR(VLOOKUP(D222,Product_Master!$A$2:$F$13,3,FALSE),"")</f>
        <v>Electronics</v>
      </c>
      <c r="N222" s="4">
        <f t="shared" si="15"/>
        <v>239994</v>
      </c>
      <c r="O222" s="4">
        <f t="shared" si="16"/>
        <v>35999.1</v>
      </c>
      <c r="P222" s="4">
        <f t="shared" si="17"/>
        <v>203994.9</v>
      </c>
      <c r="Q222" s="4">
        <f>G222*IFERROR(VLOOKUP(D222,Product_Master!$A$2:$F$13,6,FALSE),0)</f>
        <v>180000</v>
      </c>
      <c r="R222" s="4">
        <f t="shared" si="18"/>
        <v>23994.899999999994</v>
      </c>
      <c r="S222" s="5">
        <f t="shared" si="19"/>
        <v>0.11762499944851559</v>
      </c>
    </row>
    <row r="223" spans="1:19" x14ac:dyDescent="0.3">
      <c r="A223" t="s">
        <v>274</v>
      </c>
      <c r="B223" s="2">
        <v>45756</v>
      </c>
      <c r="C223" t="s">
        <v>82</v>
      </c>
      <c r="D223" t="s">
        <v>41</v>
      </c>
      <c r="E223" t="str">
        <f>IFERROR(VLOOKUP(C223,Customer_Master!$A$2:$E$16,4,FALSE),"")</f>
        <v>Central</v>
      </c>
      <c r="F223" t="str">
        <f>IFERROR(VLOOKUP(C223,Customer_Master!$A$2:$E$16,5,FALSE),"")</f>
        <v>Small Business</v>
      </c>
      <c r="G223">
        <v>1</v>
      </c>
      <c r="H223" s="3">
        <v>0</v>
      </c>
      <c r="I223" t="s">
        <v>54</v>
      </c>
      <c r="J223" t="s">
        <v>23</v>
      </c>
      <c r="K223" s="4">
        <f>IFERROR(VLOOKUP(D223,Product_Master!$A$2:$F$13,5,FALSE),0)</f>
        <v>24999</v>
      </c>
      <c r="L223" t="str">
        <f>IFERROR(VLOOKUP(D223,Product_Master!$A$2:$F$13,2,FALSE),"")</f>
        <v>Smartphone Lite</v>
      </c>
      <c r="M223" t="str">
        <f>IFERROR(VLOOKUP(D223,Product_Master!$A$2:$F$13,3,FALSE),"")</f>
        <v>Electronics</v>
      </c>
      <c r="N223" s="4">
        <f t="shared" si="15"/>
        <v>24999</v>
      </c>
      <c r="O223" s="4">
        <f t="shared" si="16"/>
        <v>0</v>
      </c>
      <c r="P223" s="4">
        <f t="shared" si="17"/>
        <v>24999</v>
      </c>
      <c r="Q223" s="4">
        <f>G223*IFERROR(VLOOKUP(D223,Product_Master!$A$2:$F$13,6,FALSE),0)</f>
        <v>18500</v>
      </c>
      <c r="R223" s="4">
        <f t="shared" si="18"/>
        <v>6499</v>
      </c>
      <c r="S223" s="5">
        <f t="shared" si="19"/>
        <v>0.25997039881595263</v>
      </c>
    </row>
    <row r="224" spans="1:19" x14ac:dyDescent="0.3">
      <c r="A224" t="s">
        <v>275</v>
      </c>
      <c r="B224" s="2">
        <v>45873</v>
      </c>
      <c r="C224" t="s">
        <v>87</v>
      </c>
      <c r="D224" t="s">
        <v>28</v>
      </c>
      <c r="E224" t="str">
        <f>IFERROR(VLOOKUP(C224,Customer_Master!$A$2:$E$16,4,FALSE),"")</f>
        <v>East</v>
      </c>
      <c r="F224" t="str">
        <f>IFERROR(VLOOKUP(C224,Customer_Master!$A$2:$E$16,5,FALSE),"")</f>
        <v>Small Business</v>
      </c>
      <c r="G224">
        <v>6</v>
      </c>
      <c r="H224" s="3">
        <v>0.05</v>
      </c>
      <c r="I224" t="s">
        <v>54</v>
      </c>
      <c r="J224" t="s">
        <v>23</v>
      </c>
      <c r="K224" s="4">
        <f>IFERROR(VLOOKUP(D224,Product_Master!$A$2:$F$13,5,FALSE),0)</f>
        <v>28999</v>
      </c>
      <c r="L224" t="str">
        <f>IFERROR(VLOOKUP(D224,Product_Master!$A$2:$F$13,2,FALSE),"")</f>
        <v>Tablet Plus</v>
      </c>
      <c r="M224" t="str">
        <f>IFERROR(VLOOKUP(D224,Product_Master!$A$2:$F$13,3,FALSE),"")</f>
        <v>Electronics</v>
      </c>
      <c r="N224" s="4">
        <f t="shared" si="15"/>
        <v>173994</v>
      </c>
      <c r="O224" s="4">
        <f t="shared" si="16"/>
        <v>8699.7000000000007</v>
      </c>
      <c r="P224" s="4">
        <f t="shared" si="17"/>
        <v>165294.29999999999</v>
      </c>
      <c r="Q224" s="4">
        <f>G224*IFERROR(VLOOKUP(D224,Product_Master!$A$2:$F$13,6,FALSE),0)</f>
        <v>129000</v>
      </c>
      <c r="R224" s="4">
        <f t="shared" si="18"/>
        <v>36294.299999999988</v>
      </c>
      <c r="S224" s="5">
        <f t="shared" si="19"/>
        <v>0.21957381470504422</v>
      </c>
    </row>
    <row r="225" spans="1:19" x14ac:dyDescent="0.3">
      <c r="A225" t="s">
        <v>276</v>
      </c>
      <c r="B225" s="2">
        <v>45744</v>
      </c>
      <c r="C225" t="s">
        <v>32</v>
      </c>
      <c r="D225" t="s">
        <v>48</v>
      </c>
      <c r="E225" t="str">
        <f>IFERROR(VLOOKUP(C225,Customer_Master!$A$2:$E$16,4,FALSE),"")</f>
        <v>East</v>
      </c>
      <c r="F225" t="str">
        <f>IFERROR(VLOOKUP(C225,Customer_Master!$A$2:$E$16,5,FALSE),"")</f>
        <v>Corporate</v>
      </c>
      <c r="G225">
        <v>2</v>
      </c>
      <c r="H225" s="3">
        <v>0.05</v>
      </c>
      <c r="I225" t="s">
        <v>29</v>
      </c>
      <c r="J225" t="s">
        <v>23</v>
      </c>
      <c r="K225" s="4">
        <f>IFERROR(VLOOKUP(D225,Product_Master!$A$2:$F$13,5,FALSE),0)</f>
        <v>62999</v>
      </c>
      <c r="L225" t="str">
        <f>IFERROR(VLOOKUP(D225,Product_Master!$A$2:$F$13,2,FALSE),"")</f>
        <v>Laptop Air 13</v>
      </c>
      <c r="M225" t="str">
        <f>IFERROR(VLOOKUP(D225,Product_Master!$A$2:$F$13,3,FALSE),"")</f>
        <v>Electronics</v>
      </c>
      <c r="N225" s="4">
        <f t="shared" si="15"/>
        <v>125998</v>
      </c>
      <c r="O225" s="4">
        <f t="shared" si="16"/>
        <v>6299.9000000000005</v>
      </c>
      <c r="P225" s="4">
        <f t="shared" si="17"/>
        <v>119698.1</v>
      </c>
      <c r="Q225" s="4">
        <f>G225*IFERROR(VLOOKUP(D225,Product_Master!$A$2:$F$13,6,FALSE),0)</f>
        <v>98000</v>
      </c>
      <c r="R225" s="4">
        <f t="shared" si="18"/>
        <v>21698.100000000006</v>
      </c>
      <c r="S225" s="5">
        <f t="shared" si="19"/>
        <v>0.18127355404973014</v>
      </c>
    </row>
    <row r="226" spans="1:19" x14ac:dyDescent="0.3">
      <c r="A226" t="s">
        <v>277</v>
      </c>
      <c r="B226" s="2">
        <v>45778</v>
      </c>
      <c r="C226" t="s">
        <v>76</v>
      </c>
      <c r="D226" t="s">
        <v>62</v>
      </c>
      <c r="E226" t="str">
        <f>IFERROR(VLOOKUP(C226,Customer_Master!$A$2:$E$16,4,FALSE),"")</f>
        <v>West</v>
      </c>
      <c r="F226" t="str">
        <f>IFERROR(VLOOKUP(C226,Customer_Master!$A$2:$E$16,5,FALSE),"")</f>
        <v>Small Business</v>
      </c>
      <c r="G226">
        <v>5</v>
      </c>
      <c r="H226" s="3">
        <v>0.05</v>
      </c>
      <c r="I226" t="s">
        <v>54</v>
      </c>
      <c r="J226" t="s">
        <v>23</v>
      </c>
      <c r="K226" s="4">
        <f>IFERROR(VLOOKUP(D226,Product_Master!$A$2:$F$13,5,FALSE),0)</f>
        <v>39999</v>
      </c>
      <c r="L226" t="str">
        <f>IFERROR(VLOOKUP(D226,Product_Master!$A$2:$F$13,2,FALSE),"")</f>
        <v>Smartphone X</v>
      </c>
      <c r="M226" t="str">
        <f>IFERROR(VLOOKUP(D226,Product_Master!$A$2:$F$13,3,FALSE),"")</f>
        <v>Electronics</v>
      </c>
      <c r="N226" s="4">
        <f t="shared" si="15"/>
        <v>199995</v>
      </c>
      <c r="O226" s="4">
        <f t="shared" si="16"/>
        <v>9999.75</v>
      </c>
      <c r="P226" s="4">
        <f t="shared" si="17"/>
        <v>189995.25</v>
      </c>
      <c r="Q226" s="4">
        <f>G226*IFERROR(VLOOKUP(D226,Product_Master!$A$2:$F$13,6,FALSE),0)</f>
        <v>150000</v>
      </c>
      <c r="R226" s="4">
        <f t="shared" si="18"/>
        <v>39995.25</v>
      </c>
      <c r="S226" s="5">
        <f t="shared" si="19"/>
        <v>0.21050657845393503</v>
      </c>
    </row>
    <row r="227" spans="1:19" x14ac:dyDescent="0.3">
      <c r="A227" t="s">
        <v>278</v>
      </c>
      <c r="B227" s="2">
        <v>45926</v>
      </c>
      <c r="C227" t="s">
        <v>47</v>
      </c>
      <c r="D227" t="s">
        <v>43</v>
      </c>
      <c r="E227" t="str">
        <f>IFERROR(VLOOKUP(C227,Customer_Master!$A$2:$E$16,4,FALSE),"")</f>
        <v>West</v>
      </c>
      <c r="F227" t="str">
        <f>IFERROR(VLOOKUP(C227,Customer_Master!$A$2:$E$16,5,FALSE),"")</f>
        <v>Corporate</v>
      </c>
      <c r="G227">
        <v>1</v>
      </c>
      <c r="H227" s="3">
        <v>0.15</v>
      </c>
      <c r="I227" t="s">
        <v>22</v>
      </c>
      <c r="J227" t="s">
        <v>23</v>
      </c>
      <c r="K227" s="4">
        <f>IFERROR(VLOOKUP(D227,Product_Master!$A$2:$F$13,5,FALSE),0)</f>
        <v>8999</v>
      </c>
      <c r="L227" t="str">
        <f>IFERROR(VLOOKUP(D227,Product_Master!$A$2:$F$13,2,FALSE),"")</f>
        <v>Office Chair</v>
      </c>
      <c r="M227" t="str">
        <f>IFERROR(VLOOKUP(D227,Product_Master!$A$2:$F$13,3,FALSE),"")</f>
        <v>Furniture</v>
      </c>
      <c r="N227" s="4">
        <f t="shared" si="15"/>
        <v>8999</v>
      </c>
      <c r="O227" s="4">
        <f t="shared" si="16"/>
        <v>1349.85</v>
      </c>
      <c r="P227" s="4">
        <f t="shared" si="17"/>
        <v>7649.15</v>
      </c>
      <c r="Q227" s="4">
        <f>G227*IFERROR(VLOOKUP(D227,Product_Master!$A$2:$F$13,6,FALSE),0)</f>
        <v>6100</v>
      </c>
      <c r="R227" s="4">
        <f t="shared" si="18"/>
        <v>1549.1499999999996</v>
      </c>
      <c r="S227" s="5">
        <f t="shared" si="19"/>
        <v>0.20252577083728254</v>
      </c>
    </row>
    <row r="228" spans="1:19" x14ac:dyDescent="0.3">
      <c r="A228" t="s">
        <v>279</v>
      </c>
      <c r="B228" s="2">
        <v>45999</v>
      </c>
      <c r="C228" t="s">
        <v>76</v>
      </c>
      <c r="D228" t="s">
        <v>62</v>
      </c>
      <c r="E228" t="str">
        <f>IFERROR(VLOOKUP(C228,Customer_Master!$A$2:$E$16,4,FALSE),"")</f>
        <v>West</v>
      </c>
      <c r="F228" t="str">
        <f>IFERROR(VLOOKUP(C228,Customer_Master!$A$2:$E$16,5,FALSE),"")</f>
        <v>Small Business</v>
      </c>
      <c r="G228">
        <v>2</v>
      </c>
      <c r="H228" s="3">
        <v>0.05</v>
      </c>
      <c r="I228" t="s">
        <v>26</v>
      </c>
      <c r="J228" t="s">
        <v>23</v>
      </c>
      <c r="K228" s="4">
        <f>IFERROR(VLOOKUP(D228,Product_Master!$A$2:$F$13,5,FALSE),0)</f>
        <v>39999</v>
      </c>
      <c r="L228" t="str">
        <f>IFERROR(VLOOKUP(D228,Product_Master!$A$2:$F$13,2,FALSE),"")</f>
        <v>Smartphone X</v>
      </c>
      <c r="M228" t="str">
        <f>IFERROR(VLOOKUP(D228,Product_Master!$A$2:$F$13,3,FALSE),"")</f>
        <v>Electronics</v>
      </c>
      <c r="N228" s="4">
        <f t="shared" si="15"/>
        <v>79998</v>
      </c>
      <c r="O228" s="4">
        <f t="shared" si="16"/>
        <v>3999.9</v>
      </c>
      <c r="P228" s="4">
        <f t="shared" si="17"/>
        <v>75998.100000000006</v>
      </c>
      <c r="Q228" s="4">
        <f>G228*IFERROR(VLOOKUP(D228,Product_Master!$A$2:$F$13,6,FALSE),0)</f>
        <v>60000</v>
      </c>
      <c r="R228" s="4">
        <f t="shared" si="18"/>
        <v>15998.100000000006</v>
      </c>
      <c r="S228" s="5">
        <f t="shared" si="19"/>
        <v>0.21050657845393508</v>
      </c>
    </row>
    <row r="229" spans="1:19" x14ac:dyDescent="0.3">
      <c r="A229" t="s">
        <v>280</v>
      </c>
      <c r="B229" s="2">
        <v>45883</v>
      </c>
      <c r="C229" t="s">
        <v>20</v>
      </c>
      <c r="D229" t="s">
        <v>48</v>
      </c>
      <c r="E229" t="str">
        <f>IFERROR(VLOOKUP(C229,Customer_Master!$A$2:$E$16,4,FALSE),"")</f>
        <v>South</v>
      </c>
      <c r="F229" t="str">
        <f>IFERROR(VLOOKUP(C229,Customer_Master!$A$2:$E$16,5,FALSE),"")</f>
        <v>Small Business</v>
      </c>
      <c r="G229">
        <v>5</v>
      </c>
      <c r="H229" s="3">
        <v>0</v>
      </c>
      <c r="I229" t="s">
        <v>22</v>
      </c>
      <c r="J229" t="s">
        <v>23</v>
      </c>
      <c r="K229" s="4">
        <f>IFERROR(VLOOKUP(D229,Product_Master!$A$2:$F$13,5,FALSE),0)</f>
        <v>62999</v>
      </c>
      <c r="L229" t="str">
        <f>IFERROR(VLOOKUP(D229,Product_Master!$A$2:$F$13,2,FALSE),"")</f>
        <v>Laptop Air 13</v>
      </c>
      <c r="M229" t="str">
        <f>IFERROR(VLOOKUP(D229,Product_Master!$A$2:$F$13,3,FALSE),"")</f>
        <v>Electronics</v>
      </c>
      <c r="N229" s="4">
        <f t="shared" si="15"/>
        <v>314995</v>
      </c>
      <c r="O229" s="4">
        <f t="shared" si="16"/>
        <v>0</v>
      </c>
      <c r="P229" s="4">
        <f t="shared" si="17"/>
        <v>314995</v>
      </c>
      <c r="Q229" s="4">
        <f>G229*IFERROR(VLOOKUP(D229,Product_Master!$A$2:$F$13,6,FALSE),0)</f>
        <v>245000</v>
      </c>
      <c r="R229" s="4">
        <f t="shared" si="18"/>
        <v>69995</v>
      </c>
      <c r="S229" s="5">
        <f t="shared" si="19"/>
        <v>0.2222098763472436</v>
      </c>
    </row>
    <row r="230" spans="1:19" x14ac:dyDescent="0.3">
      <c r="A230" t="s">
        <v>281</v>
      </c>
      <c r="B230" s="2">
        <v>45958</v>
      </c>
      <c r="C230" t="s">
        <v>35</v>
      </c>
      <c r="D230" t="s">
        <v>70</v>
      </c>
      <c r="E230" t="str">
        <f>IFERROR(VLOOKUP(C230,Customer_Master!$A$2:$E$16,4,FALSE),"")</f>
        <v>North</v>
      </c>
      <c r="F230" t="str">
        <f>IFERROR(VLOOKUP(C230,Customer_Master!$A$2:$E$16,5,FALSE),"")</f>
        <v>Corporate</v>
      </c>
      <c r="G230">
        <v>3</v>
      </c>
      <c r="H230" s="3">
        <v>0.15</v>
      </c>
      <c r="I230" t="s">
        <v>54</v>
      </c>
      <c r="J230" t="s">
        <v>23</v>
      </c>
      <c r="K230" s="4">
        <f>IFERROR(VLOOKUP(D230,Product_Master!$A$2:$F$13,5,FALSE),0)</f>
        <v>2499</v>
      </c>
      <c r="L230" t="str">
        <f>IFERROR(VLOOKUP(D230,Product_Master!$A$2:$F$13,2,FALSE),"")</f>
        <v>USB-C Hub</v>
      </c>
      <c r="M230" t="str">
        <f>IFERROR(VLOOKUP(D230,Product_Master!$A$2:$F$13,3,FALSE),"")</f>
        <v>Accessories</v>
      </c>
      <c r="N230" s="4">
        <f t="shared" si="15"/>
        <v>7497</v>
      </c>
      <c r="O230" s="4">
        <f t="shared" si="16"/>
        <v>1124.55</v>
      </c>
      <c r="P230" s="4">
        <f t="shared" si="17"/>
        <v>6372.45</v>
      </c>
      <c r="Q230" s="4">
        <f>G230*IFERROR(VLOOKUP(D230,Product_Master!$A$2:$F$13,6,FALSE),0)</f>
        <v>4350</v>
      </c>
      <c r="R230" s="4">
        <f t="shared" si="18"/>
        <v>2022.4499999999998</v>
      </c>
      <c r="S230" s="5">
        <f t="shared" si="19"/>
        <v>0.31737400842690017</v>
      </c>
    </row>
    <row r="231" spans="1:19" x14ac:dyDescent="0.3">
      <c r="A231" t="s">
        <v>282</v>
      </c>
      <c r="B231" s="2">
        <v>45702</v>
      </c>
      <c r="C231" t="s">
        <v>47</v>
      </c>
      <c r="D231" t="s">
        <v>70</v>
      </c>
      <c r="E231" t="str">
        <f>IFERROR(VLOOKUP(C231,Customer_Master!$A$2:$E$16,4,FALSE),"")</f>
        <v>West</v>
      </c>
      <c r="F231" t="str">
        <f>IFERROR(VLOOKUP(C231,Customer_Master!$A$2:$E$16,5,FALSE),"")</f>
        <v>Corporate</v>
      </c>
      <c r="G231">
        <v>2</v>
      </c>
      <c r="H231" s="3">
        <v>0.05</v>
      </c>
      <c r="I231" t="s">
        <v>26</v>
      </c>
      <c r="J231" t="s">
        <v>23</v>
      </c>
      <c r="K231" s="4">
        <f>IFERROR(VLOOKUP(D231,Product_Master!$A$2:$F$13,5,FALSE),0)</f>
        <v>2499</v>
      </c>
      <c r="L231" t="str">
        <f>IFERROR(VLOOKUP(D231,Product_Master!$A$2:$F$13,2,FALSE),"")</f>
        <v>USB-C Hub</v>
      </c>
      <c r="M231" t="str">
        <f>IFERROR(VLOOKUP(D231,Product_Master!$A$2:$F$13,3,FALSE),"")</f>
        <v>Accessories</v>
      </c>
      <c r="N231" s="4">
        <f t="shared" si="15"/>
        <v>4998</v>
      </c>
      <c r="O231" s="4">
        <f t="shared" si="16"/>
        <v>249.9</v>
      </c>
      <c r="P231" s="4">
        <f t="shared" si="17"/>
        <v>4748.1000000000004</v>
      </c>
      <c r="Q231" s="4">
        <f>G231*IFERROR(VLOOKUP(D231,Product_Master!$A$2:$F$13,6,FALSE),0)</f>
        <v>2900</v>
      </c>
      <c r="R231" s="4">
        <f t="shared" si="18"/>
        <v>1848.1000000000004</v>
      </c>
      <c r="S231" s="5">
        <f t="shared" si="19"/>
        <v>0.38922937596091073</v>
      </c>
    </row>
    <row r="232" spans="1:19" x14ac:dyDescent="0.3">
      <c r="A232" t="s">
        <v>283</v>
      </c>
      <c r="B232" s="2">
        <v>45938</v>
      </c>
      <c r="C232" t="s">
        <v>25</v>
      </c>
      <c r="D232" t="s">
        <v>28</v>
      </c>
      <c r="E232" t="str">
        <f>IFERROR(VLOOKUP(C232,Customer_Master!$A$2:$E$16,4,FALSE),"")</f>
        <v>South</v>
      </c>
      <c r="F232" t="str">
        <f>IFERROR(VLOOKUP(C232,Customer_Master!$A$2:$E$16,5,FALSE),"")</f>
        <v>Corporate</v>
      </c>
      <c r="G232">
        <v>1</v>
      </c>
      <c r="H232" s="3">
        <v>0.05</v>
      </c>
      <c r="I232" t="s">
        <v>26</v>
      </c>
      <c r="J232" t="s">
        <v>23</v>
      </c>
      <c r="K232" s="4">
        <f>IFERROR(VLOOKUP(D232,Product_Master!$A$2:$F$13,5,FALSE),0)</f>
        <v>28999</v>
      </c>
      <c r="L232" t="str">
        <f>IFERROR(VLOOKUP(D232,Product_Master!$A$2:$F$13,2,FALSE),"")</f>
        <v>Tablet Plus</v>
      </c>
      <c r="M232" t="str">
        <f>IFERROR(VLOOKUP(D232,Product_Master!$A$2:$F$13,3,FALSE),"")</f>
        <v>Electronics</v>
      </c>
      <c r="N232" s="4">
        <f t="shared" si="15"/>
        <v>28999</v>
      </c>
      <c r="O232" s="4">
        <f t="shared" si="16"/>
        <v>1449.95</v>
      </c>
      <c r="P232" s="4">
        <f t="shared" si="17"/>
        <v>27549.05</v>
      </c>
      <c r="Q232" s="4">
        <f>G232*IFERROR(VLOOKUP(D232,Product_Master!$A$2:$F$13,6,FALSE),0)</f>
        <v>21500</v>
      </c>
      <c r="R232" s="4">
        <f t="shared" si="18"/>
        <v>6049.0499999999993</v>
      </c>
      <c r="S232" s="5">
        <f t="shared" si="19"/>
        <v>0.21957381470504425</v>
      </c>
    </row>
    <row r="233" spans="1:19" x14ac:dyDescent="0.3">
      <c r="A233" t="s">
        <v>284</v>
      </c>
      <c r="B233" s="2">
        <v>45957</v>
      </c>
      <c r="C233" t="s">
        <v>37</v>
      </c>
      <c r="D233" t="s">
        <v>33</v>
      </c>
      <c r="E233" t="str">
        <f>IFERROR(VLOOKUP(C233,Customer_Master!$A$2:$E$16,4,FALSE),"")</f>
        <v>North</v>
      </c>
      <c r="F233" t="str">
        <f>IFERROR(VLOOKUP(C233,Customer_Master!$A$2:$E$16,5,FALSE),"")</f>
        <v>Consumer</v>
      </c>
      <c r="G233">
        <v>4</v>
      </c>
      <c r="H233" s="3">
        <v>0</v>
      </c>
      <c r="I233" t="s">
        <v>49</v>
      </c>
      <c r="J233" t="s">
        <v>23</v>
      </c>
      <c r="K233" s="4">
        <f>IFERROR(VLOOKUP(D233,Product_Master!$A$2:$F$13,5,FALSE),0)</f>
        <v>3999</v>
      </c>
      <c r="L233" t="str">
        <f>IFERROR(VLOOKUP(D233,Product_Master!$A$2:$F$13,2,FALSE),"")</f>
        <v>Mechanical Keyboard</v>
      </c>
      <c r="M233" t="str">
        <f>IFERROR(VLOOKUP(D233,Product_Master!$A$2:$F$13,3,FALSE),"")</f>
        <v>Accessories</v>
      </c>
      <c r="N233" s="4">
        <f t="shared" si="15"/>
        <v>15996</v>
      </c>
      <c r="O233" s="4">
        <f t="shared" si="16"/>
        <v>0</v>
      </c>
      <c r="P233" s="4">
        <f t="shared" si="17"/>
        <v>15996</v>
      </c>
      <c r="Q233" s="4">
        <f>G233*IFERROR(VLOOKUP(D233,Product_Master!$A$2:$F$13,6,FALSE),0)</f>
        <v>9400</v>
      </c>
      <c r="R233" s="4">
        <f t="shared" si="18"/>
        <v>6596</v>
      </c>
      <c r="S233" s="5">
        <f t="shared" si="19"/>
        <v>0.41235308827206801</v>
      </c>
    </row>
    <row r="234" spans="1:19" x14ac:dyDescent="0.3">
      <c r="A234" t="s">
        <v>285</v>
      </c>
      <c r="B234" s="2">
        <v>45942</v>
      </c>
      <c r="C234" t="s">
        <v>25</v>
      </c>
      <c r="D234" t="s">
        <v>48</v>
      </c>
      <c r="E234" t="str">
        <f>IFERROR(VLOOKUP(C234,Customer_Master!$A$2:$E$16,4,FALSE),"")</f>
        <v>South</v>
      </c>
      <c r="F234" t="str">
        <f>IFERROR(VLOOKUP(C234,Customer_Master!$A$2:$E$16,5,FALSE),"")</f>
        <v>Corporate</v>
      </c>
      <c r="G234">
        <v>6</v>
      </c>
      <c r="H234" s="3">
        <v>0.05</v>
      </c>
      <c r="I234" t="s">
        <v>54</v>
      </c>
      <c r="J234" t="s">
        <v>23</v>
      </c>
      <c r="K234" s="4">
        <f>IFERROR(VLOOKUP(D234,Product_Master!$A$2:$F$13,5,FALSE),0)</f>
        <v>62999</v>
      </c>
      <c r="L234" t="str">
        <f>IFERROR(VLOOKUP(D234,Product_Master!$A$2:$F$13,2,FALSE),"")</f>
        <v>Laptop Air 13</v>
      </c>
      <c r="M234" t="str">
        <f>IFERROR(VLOOKUP(D234,Product_Master!$A$2:$F$13,3,FALSE),"")</f>
        <v>Electronics</v>
      </c>
      <c r="N234" s="4">
        <f t="shared" si="15"/>
        <v>377994</v>
      </c>
      <c r="O234" s="4">
        <f t="shared" si="16"/>
        <v>18899.7</v>
      </c>
      <c r="P234" s="4">
        <f t="shared" si="17"/>
        <v>359094.3</v>
      </c>
      <c r="Q234" s="4">
        <f>G234*IFERROR(VLOOKUP(D234,Product_Master!$A$2:$F$13,6,FALSE),0)</f>
        <v>294000</v>
      </c>
      <c r="R234" s="4">
        <f t="shared" si="18"/>
        <v>65094.299999999988</v>
      </c>
      <c r="S234" s="5">
        <f t="shared" si="19"/>
        <v>0.18127355404973008</v>
      </c>
    </row>
    <row r="235" spans="1:19" x14ac:dyDescent="0.3">
      <c r="A235" t="s">
        <v>286</v>
      </c>
      <c r="B235" s="2">
        <v>45922</v>
      </c>
      <c r="C235" t="s">
        <v>47</v>
      </c>
      <c r="D235" t="s">
        <v>38</v>
      </c>
      <c r="E235" t="str">
        <f>IFERROR(VLOOKUP(C235,Customer_Master!$A$2:$E$16,4,FALSE),"")</f>
        <v>West</v>
      </c>
      <c r="F235" t="str">
        <f>IFERROR(VLOOKUP(C235,Customer_Master!$A$2:$E$16,5,FALSE),"")</f>
        <v>Corporate</v>
      </c>
      <c r="G235">
        <v>3</v>
      </c>
      <c r="H235" s="3">
        <v>0.15</v>
      </c>
      <c r="I235" t="s">
        <v>22</v>
      </c>
      <c r="J235" t="s">
        <v>30</v>
      </c>
      <c r="K235" s="4">
        <f>IFERROR(VLOOKUP(D235,Product_Master!$A$2:$F$13,5,FALSE),0)</f>
        <v>74999</v>
      </c>
      <c r="L235" t="str">
        <f>IFERROR(VLOOKUP(D235,Product_Master!$A$2:$F$13,2,FALSE),"")</f>
        <v>Laptop Pro 14</v>
      </c>
      <c r="M235" t="str">
        <f>IFERROR(VLOOKUP(D235,Product_Master!$A$2:$F$13,3,FALSE),"")</f>
        <v>Electronics</v>
      </c>
      <c r="N235" s="4">
        <f t="shared" si="15"/>
        <v>224997</v>
      </c>
      <c r="O235" s="4">
        <f t="shared" si="16"/>
        <v>33749.549999999996</v>
      </c>
      <c r="P235" s="4">
        <f t="shared" si="17"/>
        <v>191247.45</v>
      </c>
      <c r="Q235" s="4">
        <f>G235*IFERROR(VLOOKUP(D235,Product_Master!$A$2:$F$13,6,FALSE),0)</f>
        <v>175500</v>
      </c>
      <c r="R235" s="4">
        <f t="shared" si="18"/>
        <v>15747.450000000012</v>
      </c>
      <c r="S235" s="5">
        <f t="shared" si="19"/>
        <v>8.2340705719213564E-2</v>
      </c>
    </row>
    <row r="236" spans="1:19" x14ac:dyDescent="0.3">
      <c r="A236" t="s">
        <v>287</v>
      </c>
      <c r="B236" s="2">
        <v>45742</v>
      </c>
      <c r="C236" t="s">
        <v>25</v>
      </c>
      <c r="D236" t="s">
        <v>70</v>
      </c>
      <c r="E236" t="str">
        <f>IFERROR(VLOOKUP(C236,Customer_Master!$A$2:$E$16,4,FALSE),"")</f>
        <v>South</v>
      </c>
      <c r="F236" t="str">
        <f>IFERROR(VLOOKUP(C236,Customer_Master!$A$2:$E$16,5,FALSE),"")</f>
        <v>Corporate</v>
      </c>
      <c r="G236">
        <v>1</v>
      </c>
      <c r="H236" s="3">
        <v>0.15</v>
      </c>
      <c r="I236" t="s">
        <v>49</v>
      </c>
      <c r="J236" t="s">
        <v>23</v>
      </c>
      <c r="K236" s="4">
        <f>IFERROR(VLOOKUP(D236,Product_Master!$A$2:$F$13,5,FALSE),0)</f>
        <v>2499</v>
      </c>
      <c r="L236" t="str">
        <f>IFERROR(VLOOKUP(D236,Product_Master!$A$2:$F$13,2,FALSE),"")</f>
        <v>USB-C Hub</v>
      </c>
      <c r="M236" t="str">
        <f>IFERROR(VLOOKUP(D236,Product_Master!$A$2:$F$13,3,FALSE),"")</f>
        <v>Accessories</v>
      </c>
      <c r="N236" s="4">
        <f t="shared" si="15"/>
        <v>2499</v>
      </c>
      <c r="O236" s="4">
        <f t="shared" si="16"/>
        <v>374.84999999999997</v>
      </c>
      <c r="P236" s="4">
        <f t="shared" si="17"/>
        <v>2124.15</v>
      </c>
      <c r="Q236" s="4">
        <f>G236*IFERROR(VLOOKUP(D236,Product_Master!$A$2:$F$13,6,FALSE),0)</f>
        <v>1450</v>
      </c>
      <c r="R236" s="4">
        <f t="shared" si="18"/>
        <v>674.15000000000009</v>
      </c>
      <c r="S236" s="5">
        <f t="shared" si="19"/>
        <v>0.31737400842690022</v>
      </c>
    </row>
    <row r="237" spans="1:19" x14ac:dyDescent="0.3">
      <c r="A237" t="s">
        <v>288</v>
      </c>
      <c r="B237" s="2">
        <v>45938</v>
      </c>
      <c r="C237" t="s">
        <v>82</v>
      </c>
      <c r="D237" t="s">
        <v>33</v>
      </c>
      <c r="E237" t="str">
        <f>IFERROR(VLOOKUP(C237,Customer_Master!$A$2:$E$16,4,FALSE),"")</f>
        <v>Central</v>
      </c>
      <c r="F237" t="str">
        <f>IFERROR(VLOOKUP(C237,Customer_Master!$A$2:$E$16,5,FALSE),"")</f>
        <v>Small Business</v>
      </c>
      <c r="G237">
        <v>3</v>
      </c>
      <c r="H237" s="3">
        <v>0.05</v>
      </c>
      <c r="I237" t="s">
        <v>54</v>
      </c>
      <c r="J237" t="s">
        <v>23</v>
      </c>
      <c r="K237" s="4">
        <f>IFERROR(VLOOKUP(D237,Product_Master!$A$2:$F$13,5,FALSE),0)</f>
        <v>3999</v>
      </c>
      <c r="L237" t="str">
        <f>IFERROR(VLOOKUP(D237,Product_Master!$A$2:$F$13,2,FALSE),"")</f>
        <v>Mechanical Keyboard</v>
      </c>
      <c r="M237" t="str">
        <f>IFERROR(VLOOKUP(D237,Product_Master!$A$2:$F$13,3,FALSE),"")</f>
        <v>Accessories</v>
      </c>
      <c r="N237" s="4">
        <f t="shared" si="15"/>
        <v>11997</v>
      </c>
      <c r="O237" s="4">
        <f t="shared" si="16"/>
        <v>599.85</v>
      </c>
      <c r="P237" s="4">
        <f t="shared" si="17"/>
        <v>11397.15</v>
      </c>
      <c r="Q237" s="4">
        <f>G237*IFERROR(VLOOKUP(D237,Product_Master!$A$2:$F$13,6,FALSE),0)</f>
        <v>7050</v>
      </c>
      <c r="R237" s="4">
        <f t="shared" si="18"/>
        <v>4347.1499999999996</v>
      </c>
      <c r="S237" s="5">
        <f t="shared" si="19"/>
        <v>0.38142430344428213</v>
      </c>
    </row>
    <row r="238" spans="1:19" x14ac:dyDescent="0.3">
      <c r="A238" t="s">
        <v>289</v>
      </c>
      <c r="B238" s="2">
        <v>45955</v>
      </c>
      <c r="C238" t="s">
        <v>40</v>
      </c>
      <c r="D238" t="s">
        <v>41</v>
      </c>
      <c r="E238" t="str">
        <f>IFERROR(VLOOKUP(C238,Customer_Master!$A$2:$E$16,4,FALSE),"")</f>
        <v>West</v>
      </c>
      <c r="F238" t="str">
        <f>IFERROR(VLOOKUP(C238,Customer_Master!$A$2:$E$16,5,FALSE),"")</f>
        <v>Corporate</v>
      </c>
      <c r="G238">
        <v>5</v>
      </c>
      <c r="H238" s="3">
        <v>0.1</v>
      </c>
      <c r="I238" t="s">
        <v>54</v>
      </c>
      <c r="J238" t="s">
        <v>23</v>
      </c>
      <c r="K238" s="4">
        <f>IFERROR(VLOOKUP(D238,Product_Master!$A$2:$F$13,5,FALSE),0)</f>
        <v>24999</v>
      </c>
      <c r="L238" t="str">
        <f>IFERROR(VLOOKUP(D238,Product_Master!$A$2:$F$13,2,FALSE),"")</f>
        <v>Smartphone Lite</v>
      </c>
      <c r="M238" t="str">
        <f>IFERROR(VLOOKUP(D238,Product_Master!$A$2:$F$13,3,FALSE),"")</f>
        <v>Electronics</v>
      </c>
      <c r="N238" s="4">
        <f t="shared" si="15"/>
        <v>124995</v>
      </c>
      <c r="O238" s="4">
        <f t="shared" si="16"/>
        <v>12499.5</v>
      </c>
      <c r="P238" s="4">
        <f t="shared" si="17"/>
        <v>112495.5</v>
      </c>
      <c r="Q238" s="4">
        <f>G238*IFERROR(VLOOKUP(D238,Product_Master!$A$2:$F$13,6,FALSE),0)</f>
        <v>92500</v>
      </c>
      <c r="R238" s="4">
        <f t="shared" si="18"/>
        <v>19995.5</v>
      </c>
      <c r="S238" s="5">
        <f t="shared" si="19"/>
        <v>0.17774488757328072</v>
      </c>
    </row>
    <row r="239" spans="1:19" x14ac:dyDescent="0.3">
      <c r="A239" t="s">
        <v>290</v>
      </c>
      <c r="B239" s="2">
        <v>45684</v>
      </c>
      <c r="C239" t="s">
        <v>61</v>
      </c>
      <c r="D239" t="s">
        <v>70</v>
      </c>
      <c r="E239" t="str">
        <f>IFERROR(VLOOKUP(C239,Customer_Master!$A$2:$E$16,4,FALSE),"")</f>
        <v>South</v>
      </c>
      <c r="F239" t="str">
        <f>IFERROR(VLOOKUP(C239,Customer_Master!$A$2:$E$16,5,FALSE),"")</f>
        <v>Consumer</v>
      </c>
      <c r="G239">
        <v>5</v>
      </c>
      <c r="H239" s="3">
        <v>0.1</v>
      </c>
      <c r="I239" t="s">
        <v>26</v>
      </c>
      <c r="J239" t="s">
        <v>23</v>
      </c>
      <c r="K239" s="4">
        <f>IFERROR(VLOOKUP(D239,Product_Master!$A$2:$F$13,5,FALSE),0)</f>
        <v>2499</v>
      </c>
      <c r="L239" t="str">
        <f>IFERROR(VLOOKUP(D239,Product_Master!$A$2:$F$13,2,FALSE),"")</f>
        <v>USB-C Hub</v>
      </c>
      <c r="M239" t="str">
        <f>IFERROR(VLOOKUP(D239,Product_Master!$A$2:$F$13,3,FALSE),"")</f>
        <v>Accessories</v>
      </c>
      <c r="N239" s="4">
        <f t="shared" si="15"/>
        <v>12495</v>
      </c>
      <c r="O239" s="4">
        <f t="shared" si="16"/>
        <v>1249.5</v>
      </c>
      <c r="P239" s="4">
        <f t="shared" si="17"/>
        <v>11245.5</v>
      </c>
      <c r="Q239" s="4">
        <f>G239*IFERROR(VLOOKUP(D239,Product_Master!$A$2:$F$13,6,FALSE),0)</f>
        <v>7250</v>
      </c>
      <c r="R239" s="4">
        <f t="shared" si="18"/>
        <v>3995.5</v>
      </c>
      <c r="S239" s="5">
        <f t="shared" si="19"/>
        <v>0.35529767462540573</v>
      </c>
    </row>
    <row r="240" spans="1:19" x14ac:dyDescent="0.3">
      <c r="A240" t="s">
        <v>291</v>
      </c>
      <c r="B240" s="2">
        <v>45667</v>
      </c>
      <c r="C240" t="s">
        <v>25</v>
      </c>
      <c r="D240" t="s">
        <v>70</v>
      </c>
      <c r="E240" t="str">
        <f>IFERROR(VLOOKUP(C240,Customer_Master!$A$2:$E$16,4,FALSE),"")</f>
        <v>South</v>
      </c>
      <c r="F240" t="str">
        <f>IFERROR(VLOOKUP(C240,Customer_Master!$A$2:$E$16,5,FALSE),"")</f>
        <v>Corporate</v>
      </c>
      <c r="G240">
        <v>5</v>
      </c>
      <c r="H240" s="3">
        <v>0.1</v>
      </c>
      <c r="I240" t="s">
        <v>49</v>
      </c>
      <c r="J240" t="s">
        <v>30</v>
      </c>
      <c r="K240" s="4">
        <f>IFERROR(VLOOKUP(D240,Product_Master!$A$2:$F$13,5,FALSE),0)</f>
        <v>2499</v>
      </c>
      <c r="L240" t="str">
        <f>IFERROR(VLOOKUP(D240,Product_Master!$A$2:$F$13,2,FALSE),"")</f>
        <v>USB-C Hub</v>
      </c>
      <c r="M240" t="str">
        <f>IFERROR(VLOOKUP(D240,Product_Master!$A$2:$F$13,3,FALSE),"")</f>
        <v>Accessories</v>
      </c>
      <c r="N240" s="4">
        <f t="shared" si="15"/>
        <v>12495</v>
      </c>
      <c r="O240" s="4">
        <f t="shared" si="16"/>
        <v>1249.5</v>
      </c>
      <c r="P240" s="4">
        <f t="shared" si="17"/>
        <v>11245.5</v>
      </c>
      <c r="Q240" s="4">
        <f>G240*IFERROR(VLOOKUP(D240,Product_Master!$A$2:$F$13,6,FALSE),0)</f>
        <v>7250</v>
      </c>
      <c r="R240" s="4">
        <f t="shared" si="18"/>
        <v>3995.5</v>
      </c>
      <c r="S240" s="5">
        <f t="shared" si="19"/>
        <v>0.35529767462540573</v>
      </c>
    </row>
    <row r="241" spans="1:19" x14ac:dyDescent="0.3">
      <c r="A241" t="s">
        <v>292</v>
      </c>
      <c r="B241" s="2">
        <v>45792</v>
      </c>
      <c r="C241" t="s">
        <v>20</v>
      </c>
      <c r="D241" t="s">
        <v>52</v>
      </c>
      <c r="E241" t="str">
        <f>IFERROR(VLOOKUP(C241,Customer_Master!$A$2:$E$16,4,FALSE),"")</f>
        <v>South</v>
      </c>
      <c r="F241" t="str">
        <f>IFERROR(VLOOKUP(C241,Customer_Master!$A$2:$E$16,5,FALSE),"")</f>
        <v>Small Business</v>
      </c>
      <c r="G241">
        <v>1</v>
      </c>
      <c r="H241" s="3">
        <v>0</v>
      </c>
      <c r="I241" t="s">
        <v>29</v>
      </c>
      <c r="J241" t="s">
        <v>23</v>
      </c>
      <c r="K241" s="4">
        <f>IFERROR(VLOOKUP(D241,Product_Master!$A$2:$F$13,5,FALSE),0)</f>
        <v>6999</v>
      </c>
      <c r="L241" t="str">
        <f>IFERROR(VLOOKUP(D241,Product_Master!$A$2:$F$13,2,FALSE),"")</f>
        <v>Study Desk</v>
      </c>
      <c r="M241" t="str">
        <f>IFERROR(VLOOKUP(D241,Product_Master!$A$2:$F$13,3,FALSE),"")</f>
        <v>Furniture</v>
      </c>
      <c r="N241" s="4">
        <f t="shared" si="15"/>
        <v>6999</v>
      </c>
      <c r="O241" s="4">
        <f t="shared" si="16"/>
        <v>0</v>
      </c>
      <c r="P241" s="4">
        <f t="shared" si="17"/>
        <v>6999</v>
      </c>
      <c r="Q241" s="4">
        <f>G241*IFERROR(VLOOKUP(D241,Product_Master!$A$2:$F$13,6,FALSE),0)</f>
        <v>4500</v>
      </c>
      <c r="R241" s="4">
        <f t="shared" si="18"/>
        <v>2499</v>
      </c>
      <c r="S241" s="5">
        <f t="shared" si="19"/>
        <v>0.35705100728675526</v>
      </c>
    </row>
    <row r="242" spans="1:19" x14ac:dyDescent="0.3">
      <c r="A242" t="s">
        <v>293</v>
      </c>
      <c r="B242" s="2">
        <v>45936</v>
      </c>
      <c r="C242" t="s">
        <v>37</v>
      </c>
      <c r="D242" t="s">
        <v>43</v>
      </c>
      <c r="E242" t="str">
        <f>IFERROR(VLOOKUP(C242,Customer_Master!$A$2:$E$16,4,FALSE),"")</f>
        <v>North</v>
      </c>
      <c r="F242" t="str">
        <f>IFERROR(VLOOKUP(C242,Customer_Master!$A$2:$E$16,5,FALSE),"")</f>
        <v>Consumer</v>
      </c>
      <c r="G242">
        <v>5</v>
      </c>
      <c r="H242" s="3">
        <v>0.05</v>
      </c>
      <c r="I242" t="s">
        <v>22</v>
      </c>
      <c r="J242" t="s">
        <v>23</v>
      </c>
      <c r="K242" s="4">
        <f>IFERROR(VLOOKUP(D242,Product_Master!$A$2:$F$13,5,FALSE),0)</f>
        <v>8999</v>
      </c>
      <c r="L242" t="str">
        <f>IFERROR(VLOOKUP(D242,Product_Master!$A$2:$F$13,2,FALSE),"")</f>
        <v>Office Chair</v>
      </c>
      <c r="M242" t="str">
        <f>IFERROR(VLOOKUP(D242,Product_Master!$A$2:$F$13,3,FALSE),"")</f>
        <v>Furniture</v>
      </c>
      <c r="N242" s="4">
        <f t="shared" si="15"/>
        <v>44995</v>
      </c>
      <c r="O242" s="4">
        <f t="shared" si="16"/>
        <v>2249.75</v>
      </c>
      <c r="P242" s="4">
        <f t="shared" si="17"/>
        <v>42745.25</v>
      </c>
      <c r="Q242" s="4">
        <f>G242*IFERROR(VLOOKUP(D242,Product_Master!$A$2:$F$13,6,FALSE),0)</f>
        <v>30500</v>
      </c>
      <c r="R242" s="4">
        <f t="shared" si="18"/>
        <v>12245.25</v>
      </c>
      <c r="S242" s="5">
        <f t="shared" si="19"/>
        <v>0.28647042653862126</v>
      </c>
    </row>
    <row r="243" spans="1:19" x14ac:dyDescent="0.3">
      <c r="A243" t="s">
        <v>294</v>
      </c>
      <c r="B243" s="2">
        <v>45875</v>
      </c>
      <c r="C243" t="s">
        <v>35</v>
      </c>
      <c r="D243" t="s">
        <v>28</v>
      </c>
      <c r="E243" t="str">
        <f>IFERROR(VLOOKUP(C243,Customer_Master!$A$2:$E$16,4,FALSE),"")</f>
        <v>North</v>
      </c>
      <c r="F243" t="str">
        <f>IFERROR(VLOOKUP(C243,Customer_Master!$A$2:$E$16,5,FALSE),"")</f>
        <v>Corporate</v>
      </c>
      <c r="G243">
        <v>1</v>
      </c>
      <c r="H243" s="3">
        <v>0.05</v>
      </c>
      <c r="I243" t="s">
        <v>22</v>
      </c>
      <c r="J243" t="s">
        <v>30</v>
      </c>
      <c r="K243" s="4">
        <f>IFERROR(VLOOKUP(D243,Product_Master!$A$2:$F$13,5,FALSE),0)</f>
        <v>28999</v>
      </c>
      <c r="L243" t="str">
        <f>IFERROR(VLOOKUP(D243,Product_Master!$A$2:$F$13,2,FALSE),"")</f>
        <v>Tablet Plus</v>
      </c>
      <c r="M243" t="str">
        <f>IFERROR(VLOOKUP(D243,Product_Master!$A$2:$F$13,3,FALSE),"")</f>
        <v>Electronics</v>
      </c>
      <c r="N243" s="4">
        <f t="shared" si="15"/>
        <v>28999</v>
      </c>
      <c r="O243" s="4">
        <f t="shared" si="16"/>
        <v>1449.95</v>
      </c>
      <c r="P243" s="4">
        <f t="shared" si="17"/>
        <v>27549.05</v>
      </c>
      <c r="Q243" s="4">
        <f>G243*IFERROR(VLOOKUP(D243,Product_Master!$A$2:$F$13,6,FALSE),0)</f>
        <v>21500</v>
      </c>
      <c r="R243" s="4">
        <f t="shared" si="18"/>
        <v>6049.0499999999993</v>
      </c>
      <c r="S243" s="5">
        <f t="shared" si="19"/>
        <v>0.21957381470504425</v>
      </c>
    </row>
    <row r="244" spans="1:19" x14ac:dyDescent="0.3">
      <c r="A244" t="s">
        <v>295</v>
      </c>
      <c r="B244" s="2">
        <v>45959</v>
      </c>
      <c r="C244" t="s">
        <v>47</v>
      </c>
      <c r="D244" t="s">
        <v>28</v>
      </c>
      <c r="E244" t="str">
        <f>IFERROR(VLOOKUP(C244,Customer_Master!$A$2:$E$16,4,FALSE),"")</f>
        <v>West</v>
      </c>
      <c r="F244" t="str">
        <f>IFERROR(VLOOKUP(C244,Customer_Master!$A$2:$E$16,5,FALSE),"")</f>
        <v>Corporate</v>
      </c>
      <c r="G244">
        <v>4</v>
      </c>
      <c r="H244" s="3">
        <v>0</v>
      </c>
      <c r="I244" t="s">
        <v>22</v>
      </c>
      <c r="J244" t="s">
        <v>23</v>
      </c>
      <c r="K244" s="4">
        <f>IFERROR(VLOOKUP(D244,Product_Master!$A$2:$F$13,5,FALSE),0)</f>
        <v>28999</v>
      </c>
      <c r="L244" t="str">
        <f>IFERROR(VLOOKUP(D244,Product_Master!$A$2:$F$13,2,FALSE),"")</f>
        <v>Tablet Plus</v>
      </c>
      <c r="M244" t="str">
        <f>IFERROR(VLOOKUP(D244,Product_Master!$A$2:$F$13,3,FALSE),"")</f>
        <v>Electronics</v>
      </c>
      <c r="N244" s="4">
        <f t="shared" si="15"/>
        <v>115996</v>
      </c>
      <c r="O244" s="4">
        <f t="shared" si="16"/>
        <v>0</v>
      </c>
      <c r="P244" s="4">
        <f t="shared" si="17"/>
        <v>115996</v>
      </c>
      <c r="Q244" s="4">
        <f>G244*IFERROR(VLOOKUP(D244,Product_Master!$A$2:$F$13,6,FALSE),0)</f>
        <v>86000</v>
      </c>
      <c r="R244" s="4">
        <f t="shared" si="18"/>
        <v>29996</v>
      </c>
      <c r="S244" s="5">
        <f t="shared" si="19"/>
        <v>0.25859512396979206</v>
      </c>
    </row>
    <row r="245" spans="1:19" x14ac:dyDescent="0.3">
      <c r="A245" t="s">
        <v>296</v>
      </c>
      <c r="B245" s="2">
        <v>45785</v>
      </c>
      <c r="C245" t="s">
        <v>32</v>
      </c>
      <c r="D245" t="s">
        <v>28</v>
      </c>
      <c r="E245" t="str">
        <f>IFERROR(VLOOKUP(C245,Customer_Master!$A$2:$E$16,4,FALSE),"")</f>
        <v>East</v>
      </c>
      <c r="F245" t="str">
        <f>IFERROR(VLOOKUP(C245,Customer_Master!$A$2:$E$16,5,FALSE),"")</f>
        <v>Corporate</v>
      </c>
      <c r="G245">
        <v>2</v>
      </c>
      <c r="H245" s="3">
        <v>0.1</v>
      </c>
      <c r="I245" t="s">
        <v>22</v>
      </c>
      <c r="J245" t="s">
        <v>23</v>
      </c>
      <c r="K245" s="4">
        <f>IFERROR(VLOOKUP(D245,Product_Master!$A$2:$F$13,5,FALSE),0)</f>
        <v>28999</v>
      </c>
      <c r="L245" t="str">
        <f>IFERROR(VLOOKUP(D245,Product_Master!$A$2:$F$13,2,FALSE),"")</f>
        <v>Tablet Plus</v>
      </c>
      <c r="M245" t="str">
        <f>IFERROR(VLOOKUP(D245,Product_Master!$A$2:$F$13,3,FALSE),"")</f>
        <v>Electronics</v>
      </c>
      <c r="N245" s="4">
        <f t="shared" si="15"/>
        <v>57998</v>
      </c>
      <c r="O245" s="4">
        <f t="shared" si="16"/>
        <v>5799.8</v>
      </c>
      <c r="P245" s="4">
        <f t="shared" si="17"/>
        <v>52198.2</v>
      </c>
      <c r="Q245" s="4">
        <f>G245*IFERROR(VLOOKUP(D245,Product_Master!$A$2:$F$13,6,FALSE),0)</f>
        <v>43000</v>
      </c>
      <c r="R245" s="4">
        <f t="shared" si="18"/>
        <v>9198.1999999999971</v>
      </c>
      <c r="S245" s="5">
        <f t="shared" si="19"/>
        <v>0.17621680441088003</v>
      </c>
    </row>
    <row r="246" spans="1:19" x14ac:dyDescent="0.3">
      <c r="A246" t="s">
        <v>297</v>
      </c>
      <c r="B246" s="2">
        <v>45868</v>
      </c>
      <c r="C246" t="s">
        <v>35</v>
      </c>
      <c r="D246" t="s">
        <v>92</v>
      </c>
      <c r="E246" t="str">
        <f>IFERROR(VLOOKUP(C246,Customer_Master!$A$2:$E$16,4,FALSE),"")</f>
        <v>North</v>
      </c>
      <c r="F246" t="str">
        <f>IFERROR(VLOOKUP(C246,Customer_Master!$A$2:$E$16,5,FALSE),"")</f>
        <v>Corporate</v>
      </c>
      <c r="G246">
        <v>4</v>
      </c>
      <c r="H246" s="3">
        <v>0.05</v>
      </c>
      <c r="I246" t="s">
        <v>26</v>
      </c>
      <c r="J246" t="s">
        <v>23</v>
      </c>
      <c r="K246" s="4">
        <f>IFERROR(VLOOKUP(D246,Product_Master!$A$2:$F$13,5,FALSE),0)</f>
        <v>4999</v>
      </c>
      <c r="L246" t="str">
        <f>IFERROR(VLOOKUP(D246,Product_Master!$A$2:$F$13,2,FALSE),"")</f>
        <v>Wireless Headphones</v>
      </c>
      <c r="M246" t="str">
        <f>IFERROR(VLOOKUP(D246,Product_Master!$A$2:$F$13,3,FALSE),"")</f>
        <v>Electronics</v>
      </c>
      <c r="N246" s="4">
        <f t="shared" si="15"/>
        <v>19996</v>
      </c>
      <c r="O246" s="4">
        <f t="shared" si="16"/>
        <v>999.80000000000007</v>
      </c>
      <c r="P246" s="4">
        <f t="shared" si="17"/>
        <v>18996.2</v>
      </c>
      <c r="Q246" s="4">
        <f>G246*IFERROR(VLOOKUP(D246,Product_Master!$A$2:$F$13,6,FALSE),0)</f>
        <v>11600</v>
      </c>
      <c r="R246" s="4">
        <f t="shared" si="18"/>
        <v>7396.2000000000007</v>
      </c>
      <c r="S246" s="5">
        <f t="shared" si="19"/>
        <v>0.38935155452143061</v>
      </c>
    </row>
    <row r="247" spans="1:19" x14ac:dyDescent="0.3">
      <c r="A247" t="s">
        <v>298</v>
      </c>
      <c r="B247" s="2">
        <v>45965</v>
      </c>
      <c r="C247" t="s">
        <v>25</v>
      </c>
      <c r="D247" t="s">
        <v>33</v>
      </c>
      <c r="E247" t="str">
        <f>IFERROR(VLOOKUP(C247,Customer_Master!$A$2:$E$16,4,FALSE),"")</f>
        <v>South</v>
      </c>
      <c r="F247" t="str">
        <f>IFERROR(VLOOKUP(C247,Customer_Master!$A$2:$E$16,5,FALSE),"")</f>
        <v>Corporate</v>
      </c>
      <c r="G247">
        <v>2</v>
      </c>
      <c r="H247" s="3">
        <v>0.05</v>
      </c>
      <c r="I247" t="s">
        <v>49</v>
      </c>
      <c r="J247" t="s">
        <v>30</v>
      </c>
      <c r="K247" s="4">
        <f>IFERROR(VLOOKUP(D247,Product_Master!$A$2:$F$13,5,FALSE),0)</f>
        <v>3999</v>
      </c>
      <c r="L247" t="str">
        <f>IFERROR(VLOOKUP(D247,Product_Master!$A$2:$F$13,2,FALSE),"")</f>
        <v>Mechanical Keyboard</v>
      </c>
      <c r="M247" t="str">
        <f>IFERROR(VLOOKUP(D247,Product_Master!$A$2:$F$13,3,FALSE),"")</f>
        <v>Accessories</v>
      </c>
      <c r="N247" s="4">
        <f t="shared" si="15"/>
        <v>7998</v>
      </c>
      <c r="O247" s="4">
        <f t="shared" si="16"/>
        <v>399.90000000000003</v>
      </c>
      <c r="P247" s="4">
        <f t="shared" si="17"/>
        <v>7598.1</v>
      </c>
      <c r="Q247" s="4">
        <f>G247*IFERROR(VLOOKUP(D247,Product_Master!$A$2:$F$13,6,FALSE),0)</f>
        <v>4700</v>
      </c>
      <c r="R247" s="4">
        <f t="shared" si="18"/>
        <v>2898.1000000000004</v>
      </c>
      <c r="S247" s="5">
        <f t="shared" si="19"/>
        <v>0.38142430344428213</v>
      </c>
    </row>
    <row r="248" spans="1:19" x14ac:dyDescent="0.3">
      <c r="A248" t="s">
        <v>299</v>
      </c>
      <c r="B248" s="2">
        <v>45659</v>
      </c>
      <c r="C248" t="s">
        <v>74</v>
      </c>
      <c r="D248" t="s">
        <v>38</v>
      </c>
      <c r="E248" t="str">
        <f>IFERROR(VLOOKUP(C248,Customer_Master!$A$2:$E$16,4,FALSE),"")</f>
        <v>East</v>
      </c>
      <c r="F248" t="str">
        <f>IFERROR(VLOOKUP(C248,Customer_Master!$A$2:$E$16,5,FALSE),"")</f>
        <v>Consumer</v>
      </c>
      <c r="G248">
        <v>2</v>
      </c>
      <c r="H248" s="3">
        <v>0.1</v>
      </c>
      <c r="I248" t="s">
        <v>22</v>
      </c>
      <c r="J248" t="s">
        <v>23</v>
      </c>
      <c r="K248" s="4">
        <f>IFERROR(VLOOKUP(D248,Product_Master!$A$2:$F$13,5,FALSE),0)</f>
        <v>74999</v>
      </c>
      <c r="L248" t="str">
        <f>IFERROR(VLOOKUP(D248,Product_Master!$A$2:$F$13,2,FALSE),"")</f>
        <v>Laptop Pro 14</v>
      </c>
      <c r="M248" t="str">
        <f>IFERROR(VLOOKUP(D248,Product_Master!$A$2:$F$13,3,FALSE),"")</f>
        <v>Electronics</v>
      </c>
      <c r="N248" s="4">
        <f t="shared" si="15"/>
        <v>149998</v>
      </c>
      <c r="O248" s="4">
        <f t="shared" si="16"/>
        <v>14999.800000000001</v>
      </c>
      <c r="P248" s="4">
        <f t="shared" si="17"/>
        <v>134998.20000000001</v>
      </c>
      <c r="Q248" s="4">
        <f>G248*IFERROR(VLOOKUP(D248,Product_Master!$A$2:$F$13,6,FALSE),0)</f>
        <v>117000</v>
      </c>
      <c r="R248" s="4">
        <f t="shared" si="18"/>
        <v>17998.200000000012</v>
      </c>
      <c r="S248" s="5">
        <f t="shared" si="19"/>
        <v>0.13332177762370173</v>
      </c>
    </row>
    <row r="249" spans="1:19" x14ac:dyDescent="0.3">
      <c r="A249" t="s">
        <v>300</v>
      </c>
      <c r="B249" s="2">
        <v>45942</v>
      </c>
      <c r="C249" t="s">
        <v>102</v>
      </c>
      <c r="D249" t="s">
        <v>56</v>
      </c>
      <c r="E249" t="str">
        <f>IFERROR(VLOOKUP(C249,Customer_Master!$A$2:$E$16,4,FALSE),"")</f>
        <v>West</v>
      </c>
      <c r="F249" t="str">
        <f>IFERROR(VLOOKUP(C249,Customer_Master!$A$2:$E$16,5,FALSE),"")</f>
        <v>Consumer</v>
      </c>
      <c r="G249">
        <v>3</v>
      </c>
      <c r="H249" s="3">
        <v>0.1</v>
      </c>
      <c r="I249" t="s">
        <v>49</v>
      </c>
      <c r="J249" t="s">
        <v>23</v>
      </c>
      <c r="K249" s="4">
        <f>IFERROR(VLOOKUP(D249,Product_Master!$A$2:$F$13,5,FALSE),0)</f>
        <v>3499</v>
      </c>
      <c r="L249" t="str">
        <f>IFERROR(VLOOKUP(D249,Product_Master!$A$2:$F$13,2,FALSE),"")</f>
        <v>Bluetooth Speaker</v>
      </c>
      <c r="M249" t="str">
        <f>IFERROR(VLOOKUP(D249,Product_Master!$A$2:$F$13,3,FALSE),"")</f>
        <v>Electronics</v>
      </c>
      <c r="N249" s="4">
        <f t="shared" si="15"/>
        <v>10497</v>
      </c>
      <c r="O249" s="4">
        <f t="shared" si="16"/>
        <v>1049.7</v>
      </c>
      <c r="P249" s="4">
        <f t="shared" si="17"/>
        <v>9447.2999999999993</v>
      </c>
      <c r="Q249" s="4">
        <f>G249*IFERROR(VLOOKUP(D249,Product_Master!$A$2:$F$13,6,FALSE),0)</f>
        <v>6150</v>
      </c>
      <c r="R249" s="4">
        <f t="shared" si="18"/>
        <v>3297.2999999999993</v>
      </c>
      <c r="S249" s="5">
        <f t="shared" si="19"/>
        <v>0.34902035502206974</v>
      </c>
    </row>
    <row r="250" spans="1:19" x14ac:dyDescent="0.3">
      <c r="A250" t="s">
        <v>301</v>
      </c>
      <c r="B250" s="2">
        <v>45971</v>
      </c>
      <c r="C250" t="s">
        <v>35</v>
      </c>
      <c r="D250" t="s">
        <v>43</v>
      </c>
      <c r="E250" t="str">
        <f>IFERROR(VLOOKUP(C250,Customer_Master!$A$2:$E$16,4,FALSE),"")</f>
        <v>North</v>
      </c>
      <c r="F250" t="str">
        <f>IFERROR(VLOOKUP(C250,Customer_Master!$A$2:$E$16,5,FALSE),"")</f>
        <v>Corporate</v>
      </c>
      <c r="G250">
        <v>2</v>
      </c>
      <c r="H250" s="3">
        <v>0.05</v>
      </c>
      <c r="I250" t="s">
        <v>54</v>
      </c>
      <c r="J250" t="s">
        <v>23</v>
      </c>
      <c r="K250" s="4">
        <f>IFERROR(VLOOKUP(D250,Product_Master!$A$2:$F$13,5,FALSE),0)</f>
        <v>8999</v>
      </c>
      <c r="L250" t="str">
        <f>IFERROR(VLOOKUP(D250,Product_Master!$A$2:$F$13,2,FALSE),"")</f>
        <v>Office Chair</v>
      </c>
      <c r="M250" t="str">
        <f>IFERROR(VLOOKUP(D250,Product_Master!$A$2:$F$13,3,FALSE),"")</f>
        <v>Furniture</v>
      </c>
      <c r="N250" s="4">
        <f t="shared" si="15"/>
        <v>17998</v>
      </c>
      <c r="O250" s="4">
        <f t="shared" si="16"/>
        <v>899.90000000000009</v>
      </c>
      <c r="P250" s="4">
        <f t="shared" si="17"/>
        <v>17098.099999999999</v>
      </c>
      <c r="Q250" s="4">
        <f>G250*IFERROR(VLOOKUP(D250,Product_Master!$A$2:$F$13,6,FALSE),0)</f>
        <v>12200</v>
      </c>
      <c r="R250" s="4">
        <f t="shared" si="18"/>
        <v>4898.0999999999985</v>
      </c>
      <c r="S250" s="5">
        <f t="shared" si="19"/>
        <v>0.2864704265386212</v>
      </c>
    </row>
    <row r="251" spans="1:19" x14ac:dyDescent="0.3">
      <c r="A251" t="s">
        <v>302</v>
      </c>
      <c r="B251" s="2">
        <v>45872</v>
      </c>
      <c r="C251" t="s">
        <v>40</v>
      </c>
      <c r="D251" t="s">
        <v>41</v>
      </c>
      <c r="E251" t="str">
        <f>IFERROR(VLOOKUP(C251,Customer_Master!$A$2:$E$16,4,FALSE),"")</f>
        <v>West</v>
      </c>
      <c r="F251" t="str">
        <f>IFERROR(VLOOKUP(C251,Customer_Master!$A$2:$E$16,5,FALSE),"")</f>
        <v>Corporate</v>
      </c>
      <c r="G251">
        <v>4</v>
      </c>
      <c r="H251" s="3">
        <v>0</v>
      </c>
      <c r="I251" t="s">
        <v>26</v>
      </c>
      <c r="J251" t="s">
        <v>23</v>
      </c>
      <c r="K251" s="4">
        <f>IFERROR(VLOOKUP(D251,Product_Master!$A$2:$F$13,5,FALSE),0)</f>
        <v>24999</v>
      </c>
      <c r="L251" t="str">
        <f>IFERROR(VLOOKUP(D251,Product_Master!$A$2:$F$13,2,FALSE),"")</f>
        <v>Smartphone Lite</v>
      </c>
      <c r="M251" t="str">
        <f>IFERROR(VLOOKUP(D251,Product_Master!$A$2:$F$13,3,FALSE),"")</f>
        <v>Electronics</v>
      </c>
      <c r="N251" s="4">
        <f t="shared" si="15"/>
        <v>99996</v>
      </c>
      <c r="O251" s="4">
        <f t="shared" si="16"/>
        <v>0</v>
      </c>
      <c r="P251" s="4">
        <f t="shared" si="17"/>
        <v>99996</v>
      </c>
      <c r="Q251" s="4">
        <f>G251*IFERROR(VLOOKUP(D251,Product_Master!$A$2:$F$13,6,FALSE),0)</f>
        <v>74000</v>
      </c>
      <c r="R251" s="4">
        <f t="shared" si="18"/>
        <v>25996</v>
      </c>
      <c r="S251" s="5">
        <f t="shared" si="19"/>
        <v>0.25997039881595263</v>
      </c>
    </row>
    <row r="252" spans="1:19" x14ac:dyDescent="0.3">
      <c r="A252" t="s">
        <v>303</v>
      </c>
      <c r="B252" s="2">
        <v>45970</v>
      </c>
      <c r="C252" t="s">
        <v>76</v>
      </c>
      <c r="D252" t="s">
        <v>92</v>
      </c>
      <c r="E252" t="str">
        <f>IFERROR(VLOOKUP(C252,Customer_Master!$A$2:$E$16,4,FALSE),"")</f>
        <v>West</v>
      </c>
      <c r="F252" t="str">
        <f>IFERROR(VLOOKUP(C252,Customer_Master!$A$2:$E$16,5,FALSE),"")</f>
        <v>Small Business</v>
      </c>
      <c r="G252">
        <v>2</v>
      </c>
      <c r="H252" s="3">
        <v>0</v>
      </c>
      <c r="I252" t="s">
        <v>26</v>
      </c>
      <c r="J252" t="s">
        <v>23</v>
      </c>
      <c r="K252" s="4">
        <f>IFERROR(VLOOKUP(D252,Product_Master!$A$2:$F$13,5,FALSE),0)</f>
        <v>4999</v>
      </c>
      <c r="L252" t="str">
        <f>IFERROR(VLOOKUP(D252,Product_Master!$A$2:$F$13,2,FALSE),"")</f>
        <v>Wireless Headphones</v>
      </c>
      <c r="M252" t="str">
        <f>IFERROR(VLOOKUP(D252,Product_Master!$A$2:$F$13,3,FALSE),"")</f>
        <v>Electronics</v>
      </c>
      <c r="N252" s="4">
        <f t="shared" si="15"/>
        <v>9998</v>
      </c>
      <c r="O252" s="4">
        <f t="shared" si="16"/>
        <v>0</v>
      </c>
      <c r="P252" s="4">
        <f t="shared" si="17"/>
        <v>9998</v>
      </c>
      <c r="Q252" s="4">
        <f>G252*IFERROR(VLOOKUP(D252,Product_Master!$A$2:$F$13,6,FALSE),0)</f>
        <v>5800</v>
      </c>
      <c r="R252" s="4">
        <f t="shared" si="18"/>
        <v>4198</v>
      </c>
      <c r="S252" s="5">
        <f t="shared" si="19"/>
        <v>0.41988397679535905</v>
      </c>
    </row>
    <row r="253" spans="1:19" x14ac:dyDescent="0.3">
      <c r="A253" t="s">
        <v>304</v>
      </c>
      <c r="B253" s="2">
        <v>45687</v>
      </c>
      <c r="C253" t="s">
        <v>37</v>
      </c>
      <c r="D253" t="s">
        <v>43</v>
      </c>
      <c r="E253" t="str">
        <f>IFERROR(VLOOKUP(C253,Customer_Master!$A$2:$E$16,4,FALSE),"")</f>
        <v>North</v>
      </c>
      <c r="F253" t="str">
        <f>IFERROR(VLOOKUP(C253,Customer_Master!$A$2:$E$16,5,FALSE),"")</f>
        <v>Consumer</v>
      </c>
      <c r="G253">
        <v>6</v>
      </c>
      <c r="H253" s="3">
        <v>0.05</v>
      </c>
      <c r="I253" t="s">
        <v>22</v>
      </c>
      <c r="J253" t="s">
        <v>30</v>
      </c>
      <c r="K253" s="4">
        <f>IFERROR(VLOOKUP(D253,Product_Master!$A$2:$F$13,5,FALSE),0)</f>
        <v>8999</v>
      </c>
      <c r="L253" t="str">
        <f>IFERROR(VLOOKUP(D253,Product_Master!$A$2:$F$13,2,FALSE),"")</f>
        <v>Office Chair</v>
      </c>
      <c r="M253" t="str">
        <f>IFERROR(VLOOKUP(D253,Product_Master!$A$2:$F$13,3,FALSE),"")</f>
        <v>Furniture</v>
      </c>
      <c r="N253" s="4">
        <f t="shared" si="15"/>
        <v>53994</v>
      </c>
      <c r="O253" s="4">
        <f t="shared" si="16"/>
        <v>2699.7000000000003</v>
      </c>
      <c r="P253" s="4">
        <f t="shared" si="17"/>
        <v>51294.3</v>
      </c>
      <c r="Q253" s="4">
        <f>G253*IFERROR(VLOOKUP(D253,Product_Master!$A$2:$F$13,6,FALSE),0)</f>
        <v>36600</v>
      </c>
      <c r="R253" s="4">
        <f t="shared" si="18"/>
        <v>14694.300000000003</v>
      </c>
      <c r="S253" s="5">
        <f t="shared" si="19"/>
        <v>0.28647042653862131</v>
      </c>
    </row>
    <row r="254" spans="1:19" x14ac:dyDescent="0.3">
      <c r="A254" t="s">
        <v>305</v>
      </c>
      <c r="B254" s="2">
        <v>45894</v>
      </c>
      <c r="C254" t="s">
        <v>87</v>
      </c>
      <c r="D254" t="s">
        <v>62</v>
      </c>
      <c r="E254" t="str">
        <f>IFERROR(VLOOKUP(C254,Customer_Master!$A$2:$E$16,4,FALSE),"")</f>
        <v>East</v>
      </c>
      <c r="F254" t="str">
        <f>IFERROR(VLOOKUP(C254,Customer_Master!$A$2:$E$16,5,FALSE),"")</f>
        <v>Small Business</v>
      </c>
      <c r="G254">
        <v>4</v>
      </c>
      <c r="H254" s="3">
        <v>0.05</v>
      </c>
      <c r="I254" t="s">
        <v>49</v>
      </c>
      <c r="J254" t="s">
        <v>23</v>
      </c>
      <c r="K254" s="4">
        <f>IFERROR(VLOOKUP(D254,Product_Master!$A$2:$F$13,5,FALSE),0)</f>
        <v>39999</v>
      </c>
      <c r="L254" t="str">
        <f>IFERROR(VLOOKUP(D254,Product_Master!$A$2:$F$13,2,FALSE),"")</f>
        <v>Smartphone X</v>
      </c>
      <c r="M254" t="str">
        <f>IFERROR(VLOOKUP(D254,Product_Master!$A$2:$F$13,3,FALSE),"")</f>
        <v>Electronics</v>
      </c>
      <c r="N254" s="4">
        <f t="shared" si="15"/>
        <v>159996</v>
      </c>
      <c r="O254" s="4">
        <f t="shared" si="16"/>
        <v>7999.8</v>
      </c>
      <c r="P254" s="4">
        <f t="shared" si="17"/>
        <v>151996.20000000001</v>
      </c>
      <c r="Q254" s="4">
        <f>G254*IFERROR(VLOOKUP(D254,Product_Master!$A$2:$F$13,6,FALSE),0)</f>
        <v>120000</v>
      </c>
      <c r="R254" s="4">
        <f t="shared" si="18"/>
        <v>31996.200000000012</v>
      </c>
      <c r="S254" s="5">
        <f t="shared" si="19"/>
        <v>0.21050657845393508</v>
      </c>
    </row>
    <row r="255" spans="1:19" x14ac:dyDescent="0.3">
      <c r="A255" t="s">
        <v>306</v>
      </c>
      <c r="B255" s="2">
        <v>45768</v>
      </c>
      <c r="C255" t="s">
        <v>47</v>
      </c>
      <c r="D255" t="s">
        <v>38</v>
      </c>
      <c r="E255" t="str">
        <f>IFERROR(VLOOKUP(C255,Customer_Master!$A$2:$E$16,4,FALSE),"")</f>
        <v>West</v>
      </c>
      <c r="F255" t="str">
        <f>IFERROR(VLOOKUP(C255,Customer_Master!$A$2:$E$16,5,FALSE),"")</f>
        <v>Corporate</v>
      </c>
      <c r="G255">
        <v>4</v>
      </c>
      <c r="H255" s="3">
        <v>0.05</v>
      </c>
      <c r="I255" t="s">
        <v>26</v>
      </c>
      <c r="J255" t="s">
        <v>23</v>
      </c>
      <c r="K255" s="4">
        <f>IFERROR(VLOOKUP(D255,Product_Master!$A$2:$F$13,5,FALSE),0)</f>
        <v>74999</v>
      </c>
      <c r="L255" t="str">
        <f>IFERROR(VLOOKUP(D255,Product_Master!$A$2:$F$13,2,FALSE),"")</f>
        <v>Laptop Pro 14</v>
      </c>
      <c r="M255" t="str">
        <f>IFERROR(VLOOKUP(D255,Product_Master!$A$2:$F$13,3,FALSE),"")</f>
        <v>Electronics</v>
      </c>
      <c r="N255" s="4">
        <f t="shared" si="15"/>
        <v>299996</v>
      </c>
      <c r="O255" s="4">
        <f t="shared" si="16"/>
        <v>14999.800000000001</v>
      </c>
      <c r="P255" s="4">
        <f t="shared" si="17"/>
        <v>284996.2</v>
      </c>
      <c r="Q255" s="4">
        <f>G255*IFERROR(VLOOKUP(D255,Product_Master!$A$2:$F$13,6,FALSE),0)</f>
        <v>234000</v>
      </c>
      <c r="R255" s="4">
        <f t="shared" si="18"/>
        <v>50996.200000000012</v>
      </c>
      <c r="S255" s="5">
        <f t="shared" si="19"/>
        <v>0.17893642090666476</v>
      </c>
    </row>
    <row r="256" spans="1:19" x14ac:dyDescent="0.3">
      <c r="A256" t="s">
        <v>307</v>
      </c>
      <c r="B256" s="2">
        <v>45741</v>
      </c>
      <c r="C256" t="s">
        <v>47</v>
      </c>
      <c r="D256" t="s">
        <v>21</v>
      </c>
      <c r="E256" t="str">
        <f>IFERROR(VLOOKUP(C256,Customer_Master!$A$2:$E$16,4,FALSE),"")</f>
        <v>West</v>
      </c>
      <c r="F256" t="str">
        <f>IFERROR(VLOOKUP(C256,Customer_Master!$A$2:$E$16,5,FALSE),"")</f>
        <v>Corporate</v>
      </c>
      <c r="G256">
        <v>4</v>
      </c>
      <c r="H256" s="3">
        <v>0.05</v>
      </c>
      <c r="I256" t="s">
        <v>49</v>
      </c>
      <c r="J256" t="s">
        <v>23</v>
      </c>
      <c r="K256" s="4">
        <f>IFERROR(VLOOKUP(D256,Product_Master!$A$2:$F$13,5,FALSE),0)</f>
        <v>1499</v>
      </c>
      <c r="L256" t="str">
        <f>IFERROR(VLOOKUP(D256,Product_Master!$A$2:$F$13,2,FALSE),"")</f>
        <v>Wireless Mouse</v>
      </c>
      <c r="M256" t="str">
        <f>IFERROR(VLOOKUP(D256,Product_Master!$A$2:$F$13,3,FALSE),"")</f>
        <v>Accessories</v>
      </c>
      <c r="N256" s="4">
        <f t="shared" si="15"/>
        <v>5996</v>
      </c>
      <c r="O256" s="4">
        <f t="shared" si="16"/>
        <v>299.8</v>
      </c>
      <c r="P256" s="4">
        <f t="shared" si="17"/>
        <v>5696.2</v>
      </c>
      <c r="Q256" s="4">
        <f>G256*IFERROR(VLOOKUP(D256,Product_Master!$A$2:$F$13,6,FALSE),0)</f>
        <v>3000</v>
      </c>
      <c r="R256" s="4">
        <f t="shared" si="18"/>
        <v>2696.2</v>
      </c>
      <c r="S256" s="5">
        <f t="shared" si="19"/>
        <v>0.47333309925915523</v>
      </c>
    </row>
    <row r="257" spans="1:19" x14ac:dyDescent="0.3">
      <c r="A257" t="s">
        <v>308</v>
      </c>
      <c r="B257" s="2">
        <v>45815</v>
      </c>
      <c r="C257" t="s">
        <v>37</v>
      </c>
      <c r="D257" t="s">
        <v>33</v>
      </c>
      <c r="E257" t="str">
        <f>IFERROR(VLOOKUP(C257,Customer_Master!$A$2:$E$16,4,FALSE),"")</f>
        <v>North</v>
      </c>
      <c r="F257" t="str">
        <f>IFERROR(VLOOKUP(C257,Customer_Master!$A$2:$E$16,5,FALSE),"")</f>
        <v>Consumer</v>
      </c>
      <c r="G257">
        <v>4</v>
      </c>
      <c r="H257" s="3">
        <v>0.1</v>
      </c>
      <c r="I257" t="s">
        <v>49</v>
      </c>
      <c r="J257" t="s">
        <v>23</v>
      </c>
      <c r="K257" s="4">
        <f>IFERROR(VLOOKUP(D257,Product_Master!$A$2:$F$13,5,FALSE),0)</f>
        <v>3999</v>
      </c>
      <c r="L257" t="str">
        <f>IFERROR(VLOOKUP(D257,Product_Master!$A$2:$F$13,2,FALSE),"")</f>
        <v>Mechanical Keyboard</v>
      </c>
      <c r="M257" t="str">
        <f>IFERROR(VLOOKUP(D257,Product_Master!$A$2:$F$13,3,FALSE),"")</f>
        <v>Accessories</v>
      </c>
      <c r="N257" s="4">
        <f t="shared" si="15"/>
        <v>15996</v>
      </c>
      <c r="O257" s="4">
        <f t="shared" si="16"/>
        <v>1599.6000000000001</v>
      </c>
      <c r="P257" s="4">
        <f t="shared" si="17"/>
        <v>14396.4</v>
      </c>
      <c r="Q257" s="4">
        <f>G257*IFERROR(VLOOKUP(D257,Product_Master!$A$2:$F$13,6,FALSE),0)</f>
        <v>9400</v>
      </c>
      <c r="R257" s="4">
        <f t="shared" si="18"/>
        <v>4996.3999999999996</v>
      </c>
      <c r="S257" s="5">
        <f t="shared" si="19"/>
        <v>0.34705898696896442</v>
      </c>
    </row>
    <row r="258" spans="1:19" x14ac:dyDescent="0.3">
      <c r="A258" t="s">
        <v>309</v>
      </c>
      <c r="B258" s="2">
        <v>45762</v>
      </c>
      <c r="C258" t="s">
        <v>65</v>
      </c>
      <c r="D258" t="s">
        <v>33</v>
      </c>
      <c r="E258" t="str">
        <f>IFERROR(VLOOKUP(C258,Customer_Master!$A$2:$E$16,4,FALSE),"")</f>
        <v>Central</v>
      </c>
      <c r="F258" t="str">
        <f>IFERROR(VLOOKUP(C258,Customer_Master!$A$2:$E$16,5,FALSE),"")</f>
        <v>Consumer</v>
      </c>
      <c r="G258">
        <v>5</v>
      </c>
      <c r="H258" s="3">
        <v>0.1</v>
      </c>
      <c r="I258" t="s">
        <v>49</v>
      </c>
      <c r="J258" t="s">
        <v>23</v>
      </c>
      <c r="K258" s="4">
        <f>IFERROR(VLOOKUP(D258,Product_Master!$A$2:$F$13,5,FALSE),0)</f>
        <v>3999</v>
      </c>
      <c r="L258" t="str">
        <f>IFERROR(VLOOKUP(D258,Product_Master!$A$2:$F$13,2,FALSE),"")</f>
        <v>Mechanical Keyboard</v>
      </c>
      <c r="M258" t="str">
        <f>IFERROR(VLOOKUP(D258,Product_Master!$A$2:$F$13,3,FALSE),"")</f>
        <v>Accessories</v>
      </c>
      <c r="N258" s="4">
        <f t="shared" ref="N258:N301" si="20">G258*K258</f>
        <v>19995</v>
      </c>
      <c r="O258" s="4">
        <f t="shared" ref="O258:O321" si="21">N258*H258</f>
        <v>1999.5</v>
      </c>
      <c r="P258" s="4">
        <f t="shared" ref="P258:P321" si="22">N258-O258</f>
        <v>17995.5</v>
      </c>
      <c r="Q258" s="4">
        <f>G258*IFERROR(VLOOKUP(D258,Product_Master!$A$2:$F$13,6,FALSE),0)</f>
        <v>11750</v>
      </c>
      <c r="R258" s="4">
        <f t="shared" ref="R258:R321" si="23">P258-Q258</f>
        <v>6245.5</v>
      </c>
      <c r="S258" s="5">
        <f t="shared" ref="S258:S321" si="24">IFERROR(R258/P258,0)</f>
        <v>0.34705898696896448</v>
      </c>
    </row>
    <row r="259" spans="1:19" x14ac:dyDescent="0.3">
      <c r="A259" t="s">
        <v>310</v>
      </c>
      <c r="B259" s="2">
        <v>45799</v>
      </c>
      <c r="C259" t="s">
        <v>35</v>
      </c>
      <c r="D259" t="s">
        <v>52</v>
      </c>
      <c r="E259" t="str">
        <f>IFERROR(VLOOKUP(C259,Customer_Master!$A$2:$E$16,4,FALSE),"")</f>
        <v>North</v>
      </c>
      <c r="F259" t="str">
        <f>IFERROR(VLOOKUP(C259,Customer_Master!$A$2:$E$16,5,FALSE),"")</f>
        <v>Corporate</v>
      </c>
      <c r="G259">
        <v>3</v>
      </c>
      <c r="H259" s="3">
        <v>0.05</v>
      </c>
      <c r="I259" t="s">
        <v>22</v>
      </c>
      <c r="J259" t="s">
        <v>23</v>
      </c>
      <c r="K259" s="4">
        <f>IFERROR(VLOOKUP(D259,Product_Master!$A$2:$F$13,5,FALSE),0)</f>
        <v>6999</v>
      </c>
      <c r="L259" t="str">
        <f>IFERROR(VLOOKUP(D259,Product_Master!$A$2:$F$13,2,FALSE),"")</f>
        <v>Study Desk</v>
      </c>
      <c r="M259" t="str">
        <f>IFERROR(VLOOKUP(D259,Product_Master!$A$2:$F$13,3,FALSE),"")</f>
        <v>Furniture</v>
      </c>
      <c r="N259" s="4">
        <f t="shared" si="20"/>
        <v>20997</v>
      </c>
      <c r="O259" s="4">
        <f t="shared" si="21"/>
        <v>1049.8500000000001</v>
      </c>
      <c r="P259" s="4">
        <f t="shared" si="22"/>
        <v>19947.150000000001</v>
      </c>
      <c r="Q259" s="4">
        <f>G259*IFERROR(VLOOKUP(D259,Product_Master!$A$2:$F$13,6,FALSE),0)</f>
        <v>13500</v>
      </c>
      <c r="R259" s="4">
        <f t="shared" si="23"/>
        <v>6447.1500000000015</v>
      </c>
      <c r="S259" s="5">
        <f t="shared" si="24"/>
        <v>0.32321158661763716</v>
      </c>
    </row>
    <row r="260" spans="1:19" x14ac:dyDescent="0.3">
      <c r="A260" t="s">
        <v>311</v>
      </c>
      <c r="B260" s="2">
        <v>45792</v>
      </c>
      <c r="C260" t="s">
        <v>40</v>
      </c>
      <c r="D260" t="s">
        <v>62</v>
      </c>
      <c r="E260" t="str">
        <f>IFERROR(VLOOKUP(C260,Customer_Master!$A$2:$E$16,4,FALSE),"")</f>
        <v>West</v>
      </c>
      <c r="F260" t="str">
        <f>IFERROR(VLOOKUP(C260,Customer_Master!$A$2:$E$16,5,FALSE),"")</f>
        <v>Corporate</v>
      </c>
      <c r="G260">
        <v>5</v>
      </c>
      <c r="H260" s="3">
        <v>0.1</v>
      </c>
      <c r="I260" t="s">
        <v>22</v>
      </c>
      <c r="J260" t="s">
        <v>23</v>
      </c>
      <c r="K260" s="4">
        <f>IFERROR(VLOOKUP(D260,Product_Master!$A$2:$F$13,5,FALSE),0)</f>
        <v>39999</v>
      </c>
      <c r="L260" t="str">
        <f>IFERROR(VLOOKUP(D260,Product_Master!$A$2:$F$13,2,FALSE),"")</f>
        <v>Smartphone X</v>
      </c>
      <c r="M260" t="str">
        <f>IFERROR(VLOOKUP(D260,Product_Master!$A$2:$F$13,3,FALSE),"")</f>
        <v>Electronics</v>
      </c>
      <c r="N260" s="4">
        <f t="shared" si="20"/>
        <v>199995</v>
      </c>
      <c r="O260" s="4">
        <f t="shared" si="21"/>
        <v>19999.5</v>
      </c>
      <c r="P260" s="4">
        <f t="shared" si="22"/>
        <v>179995.5</v>
      </c>
      <c r="Q260" s="4">
        <f>G260*IFERROR(VLOOKUP(D260,Product_Master!$A$2:$F$13,6,FALSE),0)</f>
        <v>150000</v>
      </c>
      <c r="R260" s="4">
        <f t="shared" si="23"/>
        <v>29995.5</v>
      </c>
      <c r="S260" s="5">
        <f t="shared" si="24"/>
        <v>0.16664583281248699</v>
      </c>
    </row>
    <row r="261" spans="1:19" x14ac:dyDescent="0.3">
      <c r="A261" t="s">
        <v>312</v>
      </c>
      <c r="B261" s="2">
        <v>45842</v>
      </c>
      <c r="C261" t="s">
        <v>76</v>
      </c>
      <c r="D261" t="s">
        <v>48</v>
      </c>
      <c r="E261" t="str">
        <f>IFERROR(VLOOKUP(C261,Customer_Master!$A$2:$E$16,4,FALSE),"")</f>
        <v>West</v>
      </c>
      <c r="F261" t="str">
        <f>IFERROR(VLOOKUP(C261,Customer_Master!$A$2:$E$16,5,FALSE),"")</f>
        <v>Small Business</v>
      </c>
      <c r="G261">
        <v>1</v>
      </c>
      <c r="H261" s="3">
        <v>0.05</v>
      </c>
      <c r="I261" t="s">
        <v>54</v>
      </c>
      <c r="J261" t="s">
        <v>23</v>
      </c>
      <c r="K261" s="4">
        <f>IFERROR(VLOOKUP(D261,Product_Master!$A$2:$F$13,5,FALSE),0)</f>
        <v>62999</v>
      </c>
      <c r="L261" t="str">
        <f>IFERROR(VLOOKUP(D261,Product_Master!$A$2:$F$13,2,FALSE),"")</f>
        <v>Laptop Air 13</v>
      </c>
      <c r="M261" t="str">
        <f>IFERROR(VLOOKUP(D261,Product_Master!$A$2:$F$13,3,FALSE),"")</f>
        <v>Electronics</v>
      </c>
      <c r="N261" s="4">
        <f t="shared" si="20"/>
        <v>62999</v>
      </c>
      <c r="O261" s="4">
        <f t="shared" si="21"/>
        <v>3149.9500000000003</v>
      </c>
      <c r="P261" s="4">
        <f t="shared" si="22"/>
        <v>59849.05</v>
      </c>
      <c r="Q261" s="4">
        <f>G261*IFERROR(VLOOKUP(D261,Product_Master!$A$2:$F$13,6,FALSE),0)</f>
        <v>49000</v>
      </c>
      <c r="R261" s="4">
        <f t="shared" si="23"/>
        <v>10849.050000000003</v>
      </c>
      <c r="S261" s="5">
        <f t="shared" si="24"/>
        <v>0.18127355404973014</v>
      </c>
    </row>
    <row r="262" spans="1:19" x14ac:dyDescent="0.3">
      <c r="A262" t="s">
        <v>313</v>
      </c>
      <c r="B262" s="2">
        <v>45719</v>
      </c>
      <c r="C262" t="s">
        <v>47</v>
      </c>
      <c r="D262" t="s">
        <v>41</v>
      </c>
      <c r="E262" t="str">
        <f>IFERROR(VLOOKUP(C262,Customer_Master!$A$2:$E$16,4,FALSE),"")</f>
        <v>West</v>
      </c>
      <c r="F262" t="str">
        <f>IFERROR(VLOOKUP(C262,Customer_Master!$A$2:$E$16,5,FALSE),"")</f>
        <v>Corporate</v>
      </c>
      <c r="G262">
        <v>1</v>
      </c>
      <c r="H262" s="3">
        <v>0.05</v>
      </c>
      <c r="I262" t="s">
        <v>49</v>
      </c>
      <c r="J262" t="s">
        <v>23</v>
      </c>
      <c r="K262" s="4">
        <f>IFERROR(VLOOKUP(D262,Product_Master!$A$2:$F$13,5,FALSE),0)</f>
        <v>24999</v>
      </c>
      <c r="L262" t="str">
        <f>IFERROR(VLOOKUP(D262,Product_Master!$A$2:$F$13,2,FALSE),"")</f>
        <v>Smartphone Lite</v>
      </c>
      <c r="M262" t="str">
        <f>IFERROR(VLOOKUP(D262,Product_Master!$A$2:$F$13,3,FALSE),"")</f>
        <v>Electronics</v>
      </c>
      <c r="N262" s="4">
        <f t="shared" si="20"/>
        <v>24999</v>
      </c>
      <c r="O262" s="4">
        <f t="shared" si="21"/>
        <v>1249.95</v>
      </c>
      <c r="P262" s="4">
        <f t="shared" si="22"/>
        <v>23749.05</v>
      </c>
      <c r="Q262" s="4">
        <f>G262*IFERROR(VLOOKUP(D262,Product_Master!$A$2:$F$13,6,FALSE),0)</f>
        <v>18500</v>
      </c>
      <c r="R262" s="4">
        <f t="shared" si="23"/>
        <v>5249.0499999999993</v>
      </c>
      <c r="S262" s="5">
        <f t="shared" si="24"/>
        <v>0.22102147243784487</v>
      </c>
    </row>
    <row r="263" spans="1:19" x14ac:dyDescent="0.3">
      <c r="A263" t="s">
        <v>314</v>
      </c>
      <c r="B263" s="2">
        <v>45824</v>
      </c>
      <c r="C263" t="s">
        <v>102</v>
      </c>
      <c r="D263" t="s">
        <v>56</v>
      </c>
      <c r="E263" t="str">
        <f>IFERROR(VLOOKUP(C263,Customer_Master!$A$2:$E$16,4,FALSE),"")</f>
        <v>West</v>
      </c>
      <c r="F263" t="str">
        <f>IFERROR(VLOOKUP(C263,Customer_Master!$A$2:$E$16,5,FALSE),"")</f>
        <v>Consumer</v>
      </c>
      <c r="G263">
        <v>3</v>
      </c>
      <c r="H263" s="3">
        <v>0.15</v>
      </c>
      <c r="I263" t="s">
        <v>29</v>
      </c>
      <c r="J263" t="s">
        <v>23</v>
      </c>
      <c r="K263" s="4">
        <f>IFERROR(VLOOKUP(D263,Product_Master!$A$2:$F$13,5,FALSE),0)</f>
        <v>3499</v>
      </c>
      <c r="L263" t="str">
        <f>IFERROR(VLOOKUP(D263,Product_Master!$A$2:$F$13,2,FALSE),"")</f>
        <v>Bluetooth Speaker</v>
      </c>
      <c r="M263" t="str">
        <f>IFERROR(VLOOKUP(D263,Product_Master!$A$2:$F$13,3,FALSE),"")</f>
        <v>Electronics</v>
      </c>
      <c r="N263" s="4">
        <f t="shared" si="20"/>
        <v>10497</v>
      </c>
      <c r="O263" s="4">
        <f t="shared" si="21"/>
        <v>1574.55</v>
      </c>
      <c r="P263" s="4">
        <f t="shared" si="22"/>
        <v>8922.4500000000007</v>
      </c>
      <c r="Q263" s="4">
        <f>G263*IFERROR(VLOOKUP(D263,Product_Master!$A$2:$F$13,6,FALSE),0)</f>
        <v>6150</v>
      </c>
      <c r="R263" s="4">
        <f t="shared" si="23"/>
        <v>2772.4500000000007</v>
      </c>
      <c r="S263" s="5">
        <f t="shared" si="24"/>
        <v>0.31072743472925041</v>
      </c>
    </row>
    <row r="264" spans="1:19" x14ac:dyDescent="0.3">
      <c r="A264" t="s">
        <v>315</v>
      </c>
      <c r="B264" s="2">
        <v>45780</v>
      </c>
      <c r="C264" t="s">
        <v>32</v>
      </c>
      <c r="D264" t="s">
        <v>70</v>
      </c>
      <c r="E264" t="str">
        <f>IFERROR(VLOOKUP(C264,Customer_Master!$A$2:$E$16,4,FALSE),"")</f>
        <v>East</v>
      </c>
      <c r="F264" t="str">
        <f>IFERROR(VLOOKUP(C264,Customer_Master!$A$2:$E$16,5,FALSE),"")</f>
        <v>Corporate</v>
      </c>
      <c r="G264">
        <v>4</v>
      </c>
      <c r="H264" s="3">
        <v>0</v>
      </c>
      <c r="I264" t="s">
        <v>26</v>
      </c>
      <c r="J264" t="s">
        <v>23</v>
      </c>
      <c r="K264" s="4">
        <f>IFERROR(VLOOKUP(D264,Product_Master!$A$2:$F$13,5,FALSE),0)</f>
        <v>2499</v>
      </c>
      <c r="L264" t="str">
        <f>IFERROR(VLOOKUP(D264,Product_Master!$A$2:$F$13,2,FALSE),"")</f>
        <v>USB-C Hub</v>
      </c>
      <c r="M264" t="str">
        <f>IFERROR(VLOOKUP(D264,Product_Master!$A$2:$F$13,3,FALSE),"")</f>
        <v>Accessories</v>
      </c>
      <c r="N264" s="4">
        <f t="shared" si="20"/>
        <v>9996</v>
      </c>
      <c r="O264" s="4">
        <f t="shared" si="21"/>
        <v>0</v>
      </c>
      <c r="P264" s="4">
        <f t="shared" si="22"/>
        <v>9996</v>
      </c>
      <c r="Q264" s="4">
        <f>G264*IFERROR(VLOOKUP(D264,Product_Master!$A$2:$F$13,6,FALSE),0)</f>
        <v>5800</v>
      </c>
      <c r="R264" s="4">
        <f t="shared" si="23"/>
        <v>4196</v>
      </c>
      <c r="S264" s="5">
        <f t="shared" si="24"/>
        <v>0.41976790716286516</v>
      </c>
    </row>
    <row r="265" spans="1:19" x14ac:dyDescent="0.3">
      <c r="A265" t="s">
        <v>316</v>
      </c>
      <c r="B265" s="2">
        <v>45723</v>
      </c>
      <c r="C265" t="s">
        <v>40</v>
      </c>
      <c r="D265" t="s">
        <v>70</v>
      </c>
      <c r="E265" t="str">
        <f>IFERROR(VLOOKUP(C265,Customer_Master!$A$2:$E$16,4,FALSE),"")</f>
        <v>West</v>
      </c>
      <c r="F265" t="str">
        <f>IFERROR(VLOOKUP(C265,Customer_Master!$A$2:$E$16,5,FALSE),"")</f>
        <v>Corporate</v>
      </c>
      <c r="G265">
        <v>1</v>
      </c>
      <c r="H265" s="3">
        <v>0.05</v>
      </c>
      <c r="I265" t="s">
        <v>54</v>
      </c>
      <c r="J265" t="s">
        <v>23</v>
      </c>
      <c r="K265" s="4">
        <f>IFERROR(VLOOKUP(D265,Product_Master!$A$2:$F$13,5,FALSE),0)</f>
        <v>2499</v>
      </c>
      <c r="L265" t="str">
        <f>IFERROR(VLOOKUP(D265,Product_Master!$A$2:$F$13,2,FALSE),"")</f>
        <v>USB-C Hub</v>
      </c>
      <c r="M265" t="str">
        <f>IFERROR(VLOOKUP(D265,Product_Master!$A$2:$F$13,3,FALSE),"")</f>
        <v>Accessories</v>
      </c>
      <c r="N265" s="4">
        <f t="shared" si="20"/>
        <v>2499</v>
      </c>
      <c r="O265" s="4">
        <f t="shared" si="21"/>
        <v>124.95</v>
      </c>
      <c r="P265" s="4">
        <f t="shared" si="22"/>
        <v>2374.0500000000002</v>
      </c>
      <c r="Q265" s="4">
        <f>G265*IFERROR(VLOOKUP(D265,Product_Master!$A$2:$F$13,6,FALSE),0)</f>
        <v>1450</v>
      </c>
      <c r="R265" s="4">
        <f t="shared" si="23"/>
        <v>924.05000000000018</v>
      </c>
      <c r="S265" s="5">
        <f t="shared" si="24"/>
        <v>0.38922937596091073</v>
      </c>
    </row>
    <row r="266" spans="1:19" x14ac:dyDescent="0.3">
      <c r="A266" t="s">
        <v>317</v>
      </c>
      <c r="B266" s="2">
        <v>45936</v>
      </c>
      <c r="C266" t="s">
        <v>32</v>
      </c>
      <c r="D266" t="s">
        <v>33</v>
      </c>
      <c r="E266" t="str">
        <f>IFERROR(VLOOKUP(C266,Customer_Master!$A$2:$E$16,4,FALSE),"")</f>
        <v>East</v>
      </c>
      <c r="F266" t="str">
        <f>IFERROR(VLOOKUP(C266,Customer_Master!$A$2:$E$16,5,FALSE),"")</f>
        <v>Corporate</v>
      </c>
      <c r="G266">
        <v>6</v>
      </c>
      <c r="H266" s="3">
        <v>0.05</v>
      </c>
      <c r="I266" t="s">
        <v>22</v>
      </c>
      <c r="J266" t="s">
        <v>30</v>
      </c>
      <c r="K266" s="4">
        <f>IFERROR(VLOOKUP(D266,Product_Master!$A$2:$F$13,5,FALSE),0)</f>
        <v>3999</v>
      </c>
      <c r="L266" t="str">
        <f>IFERROR(VLOOKUP(D266,Product_Master!$A$2:$F$13,2,FALSE),"")</f>
        <v>Mechanical Keyboard</v>
      </c>
      <c r="M266" t="str">
        <f>IFERROR(VLOOKUP(D266,Product_Master!$A$2:$F$13,3,FALSE),"")</f>
        <v>Accessories</v>
      </c>
      <c r="N266" s="4">
        <f t="shared" si="20"/>
        <v>23994</v>
      </c>
      <c r="O266" s="4">
        <f t="shared" si="21"/>
        <v>1199.7</v>
      </c>
      <c r="P266" s="4">
        <f t="shared" si="22"/>
        <v>22794.3</v>
      </c>
      <c r="Q266" s="4">
        <f>G266*IFERROR(VLOOKUP(D266,Product_Master!$A$2:$F$13,6,FALSE),0)</f>
        <v>14100</v>
      </c>
      <c r="R266" s="4">
        <f t="shared" si="23"/>
        <v>8694.2999999999993</v>
      </c>
      <c r="S266" s="5">
        <f t="shared" si="24"/>
        <v>0.38142430344428213</v>
      </c>
    </row>
    <row r="267" spans="1:19" x14ac:dyDescent="0.3">
      <c r="A267" t="s">
        <v>318</v>
      </c>
      <c r="B267" s="2">
        <v>45889</v>
      </c>
      <c r="C267" t="s">
        <v>76</v>
      </c>
      <c r="D267" t="s">
        <v>92</v>
      </c>
      <c r="E267" t="str">
        <f>IFERROR(VLOOKUP(C267,Customer_Master!$A$2:$E$16,4,FALSE),"")</f>
        <v>West</v>
      </c>
      <c r="F267" t="str">
        <f>IFERROR(VLOOKUP(C267,Customer_Master!$A$2:$E$16,5,FALSE),"")</f>
        <v>Small Business</v>
      </c>
      <c r="G267">
        <v>6</v>
      </c>
      <c r="H267" s="3">
        <v>0.1</v>
      </c>
      <c r="I267" t="s">
        <v>26</v>
      </c>
      <c r="J267" t="s">
        <v>23</v>
      </c>
      <c r="K267" s="4">
        <f>IFERROR(VLOOKUP(D267,Product_Master!$A$2:$F$13,5,FALSE),0)</f>
        <v>4999</v>
      </c>
      <c r="L267" t="str">
        <f>IFERROR(VLOOKUP(D267,Product_Master!$A$2:$F$13,2,FALSE),"")</f>
        <v>Wireless Headphones</v>
      </c>
      <c r="M267" t="str">
        <f>IFERROR(VLOOKUP(D267,Product_Master!$A$2:$F$13,3,FALSE),"")</f>
        <v>Electronics</v>
      </c>
      <c r="N267" s="4">
        <f t="shared" si="20"/>
        <v>29994</v>
      </c>
      <c r="O267" s="4">
        <f t="shared" si="21"/>
        <v>2999.4</v>
      </c>
      <c r="P267" s="4">
        <f t="shared" si="22"/>
        <v>26994.6</v>
      </c>
      <c r="Q267" s="4">
        <f>G267*IFERROR(VLOOKUP(D267,Product_Master!$A$2:$F$13,6,FALSE),0)</f>
        <v>17400</v>
      </c>
      <c r="R267" s="4">
        <f t="shared" si="23"/>
        <v>9594.5999999999985</v>
      </c>
      <c r="S267" s="5">
        <f t="shared" si="24"/>
        <v>0.35542664088373227</v>
      </c>
    </row>
    <row r="268" spans="1:19" x14ac:dyDescent="0.3">
      <c r="A268" t="s">
        <v>319</v>
      </c>
      <c r="B268" s="2">
        <v>45931</v>
      </c>
      <c r="C268" t="s">
        <v>65</v>
      </c>
      <c r="D268" t="s">
        <v>28</v>
      </c>
      <c r="E268" t="str">
        <f>IFERROR(VLOOKUP(C268,Customer_Master!$A$2:$E$16,4,FALSE),"")</f>
        <v>Central</v>
      </c>
      <c r="F268" t="str">
        <f>IFERROR(VLOOKUP(C268,Customer_Master!$A$2:$E$16,5,FALSE),"")</f>
        <v>Consumer</v>
      </c>
      <c r="G268">
        <v>6</v>
      </c>
      <c r="H268" s="3">
        <v>0.1</v>
      </c>
      <c r="I268" t="s">
        <v>49</v>
      </c>
      <c r="J268" t="s">
        <v>23</v>
      </c>
      <c r="K268" s="4">
        <f>IFERROR(VLOOKUP(D268,Product_Master!$A$2:$F$13,5,FALSE),0)</f>
        <v>28999</v>
      </c>
      <c r="L268" t="str">
        <f>IFERROR(VLOOKUP(D268,Product_Master!$A$2:$F$13,2,FALSE),"")</f>
        <v>Tablet Plus</v>
      </c>
      <c r="M268" t="str">
        <f>IFERROR(VLOOKUP(D268,Product_Master!$A$2:$F$13,3,FALSE),"")</f>
        <v>Electronics</v>
      </c>
      <c r="N268" s="4">
        <f t="shared" si="20"/>
        <v>173994</v>
      </c>
      <c r="O268" s="4">
        <f t="shared" si="21"/>
        <v>17399.400000000001</v>
      </c>
      <c r="P268" s="4">
        <f t="shared" si="22"/>
        <v>156594.6</v>
      </c>
      <c r="Q268" s="4">
        <f>G268*IFERROR(VLOOKUP(D268,Product_Master!$A$2:$F$13,6,FALSE),0)</f>
        <v>129000</v>
      </c>
      <c r="R268" s="4">
        <f t="shared" si="23"/>
        <v>27594.600000000006</v>
      </c>
      <c r="S268" s="5">
        <f t="shared" si="24"/>
        <v>0.17621680441088011</v>
      </c>
    </row>
    <row r="269" spans="1:19" x14ac:dyDescent="0.3">
      <c r="A269" t="s">
        <v>320</v>
      </c>
      <c r="B269" s="2">
        <v>45840</v>
      </c>
      <c r="C269" t="s">
        <v>32</v>
      </c>
      <c r="D269" t="s">
        <v>21</v>
      </c>
      <c r="E269" t="str">
        <f>IFERROR(VLOOKUP(C269,Customer_Master!$A$2:$E$16,4,FALSE),"")</f>
        <v>East</v>
      </c>
      <c r="F269" t="str">
        <f>IFERROR(VLOOKUP(C269,Customer_Master!$A$2:$E$16,5,FALSE),"")</f>
        <v>Corporate</v>
      </c>
      <c r="G269">
        <v>2</v>
      </c>
      <c r="H269" s="3">
        <v>0</v>
      </c>
      <c r="I269" t="s">
        <v>54</v>
      </c>
      <c r="J269" t="s">
        <v>23</v>
      </c>
      <c r="K269" s="4">
        <f>IFERROR(VLOOKUP(D269,Product_Master!$A$2:$F$13,5,FALSE),0)</f>
        <v>1499</v>
      </c>
      <c r="L269" t="str">
        <f>IFERROR(VLOOKUP(D269,Product_Master!$A$2:$F$13,2,FALSE),"")</f>
        <v>Wireless Mouse</v>
      </c>
      <c r="M269" t="str">
        <f>IFERROR(VLOOKUP(D269,Product_Master!$A$2:$F$13,3,FALSE),"")</f>
        <v>Accessories</v>
      </c>
      <c r="N269" s="4">
        <f t="shared" si="20"/>
        <v>2998</v>
      </c>
      <c r="O269" s="4">
        <f t="shared" si="21"/>
        <v>0</v>
      </c>
      <c r="P269" s="4">
        <f t="shared" si="22"/>
        <v>2998</v>
      </c>
      <c r="Q269" s="4">
        <f>G269*IFERROR(VLOOKUP(D269,Product_Master!$A$2:$F$13,6,FALSE),0)</f>
        <v>1500</v>
      </c>
      <c r="R269" s="4">
        <f t="shared" si="23"/>
        <v>1498</v>
      </c>
      <c r="S269" s="5">
        <f t="shared" si="24"/>
        <v>0.49966644429619744</v>
      </c>
    </row>
    <row r="270" spans="1:19" x14ac:dyDescent="0.3">
      <c r="A270" t="s">
        <v>321</v>
      </c>
      <c r="B270" s="2">
        <v>45768</v>
      </c>
      <c r="C270" t="s">
        <v>45</v>
      </c>
      <c r="D270" t="s">
        <v>70</v>
      </c>
      <c r="E270" t="str">
        <f>IFERROR(VLOOKUP(C270,Customer_Master!$A$2:$E$16,4,FALSE),"")</f>
        <v>North</v>
      </c>
      <c r="F270" t="str">
        <f>IFERROR(VLOOKUP(C270,Customer_Master!$A$2:$E$16,5,FALSE),"")</f>
        <v>Consumer</v>
      </c>
      <c r="G270">
        <v>2</v>
      </c>
      <c r="H270" s="3">
        <v>0</v>
      </c>
      <c r="I270" t="s">
        <v>29</v>
      </c>
      <c r="J270" t="s">
        <v>23</v>
      </c>
      <c r="K270" s="4">
        <f>IFERROR(VLOOKUP(D270,Product_Master!$A$2:$F$13,5,FALSE),0)</f>
        <v>2499</v>
      </c>
      <c r="L270" t="str">
        <f>IFERROR(VLOOKUP(D270,Product_Master!$A$2:$F$13,2,FALSE),"")</f>
        <v>USB-C Hub</v>
      </c>
      <c r="M270" t="str">
        <f>IFERROR(VLOOKUP(D270,Product_Master!$A$2:$F$13,3,FALSE),"")</f>
        <v>Accessories</v>
      </c>
      <c r="N270" s="4">
        <f t="shared" si="20"/>
        <v>4998</v>
      </c>
      <c r="O270" s="4">
        <f t="shared" si="21"/>
        <v>0</v>
      </c>
      <c r="P270" s="4">
        <f t="shared" si="22"/>
        <v>4998</v>
      </c>
      <c r="Q270" s="4">
        <f>G270*IFERROR(VLOOKUP(D270,Product_Master!$A$2:$F$13,6,FALSE),0)</f>
        <v>2900</v>
      </c>
      <c r="R270" s="4">
        <f t="shared" si="23"/>
        <v>2098</v>
      </c>
      <c r="S270" s="5">
        <f t="shared" si="24"/>
        <v>0.41976790716286516</v>
      </c>
    </row>
    <row r="271" spans="1:19" x14ac:dyDescent="0.3">
      <c r="A271" t="s">
        <v>322</v>
      </c>
      <c r="B271" s="2">
        <v>45810</v>
      </c>
      <c r="C271" t="s">
        <v>37</v>
      </c>
      <c r="D271" t="s">
        <v>38</v>
      </c>
      <c r="E271" t="str">
        <f>IFERROR(VLOOKUP(C271,Customer_Master!$A$2:$E$16,4,FALSE),"")</f>
        <v>North</v>
      </c>
      <c r="F271" t="str">
        <f>IFERROR(VLOOKUP(C271,Customer_Master!$A$2:$E$16,5,FALSE),"")</f>
        <v>Consumer</v>
      </c>
      <c r="G271">
        <v>6</v>
      </c>
      <c r="H271" s="3">
        <v>0</v>
      </c>
      <c r="I271" t="s">
        <v>26</v>
      </c>
      <c r="J271" t="s">
        <v>30</v>
      </c>
      <c r="K271" s="4">
        <f>IFERROR(VLOOKUP(D271,Product_Master!$A$2:$F$13,5,FALSE),0)</f>
        <v>74999</v>
      </c>
      <c r="L271" t="str">
        <f>IFERROR(VLOOKUP(D271,Product_Master!$A$2:$F$13,2,FALSE),"")</f>
        <v>Laptop Pro 14</v>
      </c>
      <c r="M271" t="str">
        <f>IFERROR(VLOOKUP(D271,Product_Master!$A$2:$F$13,3,FALSE),"")</f>
        <v>Electronics</v>
      </c>
      <c r="N271" s="4">
        <f t="shared" si="20"/>
        <v>449994</v>
      </c>
      <c r="O271" s="4">
        <f t="shared" si="21"/>
        <v>0</v>
      </c>
      <c r="P271" s="4">
        <f t="shared" si="22"/>
        <v>449994</v>
      </c>
      <c r="Q271" s="4">
        <f>G271*IFERROR(VLOOKUP(D271,Product_Master!$A$2:$F$13,6,FALSE),0)</f>
        <v>351000</v>
      </c>
      <c r="R271" s="4">
        <f t="shared" si="23"/>
        <v>98994</v>
      </c>
      <c r="S271" s="5">
        <f t="shared" si="24"/>
        <v>0.21998959986133149</v>
      </c>
    </row>
    <row r="272" spans="1:19" x14ac:dyDescent="0.3">
      <c r="A272" t="s">
        <v>323</v>
      </c>
      <c r="B272" s="2">
        <v>45999</v>
      </c>
      <c r="C272" t="s">
        <v>74</v>
      </c>
      <c r="D272" t="s">
        <v>92</v>
      </c>
      <c r="E272" t="str">
        <f>IFERROR(VLOOKUP(C272,Customer_Master!$A$2:$E$16,4,FALSE),"")</f>
        <v>East</v>
      </c>
      <c r="F272" t="str">
        <f>IFERROR(VLOOKUP(C272,Customer_Master!$A$2:$E$16,5,FALSE),"")</f>
        <v>Consumer</v>
      </c>
      <c r="G272">
        <v>1</v>
      </c>
      <c r="H272" s="3">
        <v>0.05</v>
      </c>
      <c r="I272" t="s">
        <v>26</v>
      </c>
      <c r="J272" t="s">
        <v>23</v>
      </c>
      <c r="K272" s="4">
        <f>IFERROR(VLOOKUP(D272,Product_Master!$A$2:$F$13,5,FALSE),0)</f>
        <v>4999</v>
      </c>
      <c r="L272" t="str">
        <f>IFERROR(VLOOKUP(D272,Product_Master!$A$2:$F$13,2,FALSE),"")</f>
        <v>Wireless Headphones</v>
      </c>
      <c r="M272" t="str">
        <f>IFERROR(VLOOKUP(D272,Product_Master!$A$2:$F$13,3,FALSE),"")</f>
        <v>Electronics</v>
      </c>
      <c r="N272" s="4">
        <f t="shared" si="20"/>
        <v>4999</v>
      </c>
      <c r="O272" s="4">
        <f t="shared" si="21"/>
        <v>249.95000000000002</v>
      </c>
      <c r="P272" s="4">
        <f t="shared" si="22"/>
        <v>4749.05</v>
      </c>
      <c r="Q272" s="4">
        <f>G272*IFERROR(VLOOKUP(D272,Product_Master!$A$2:$F$13,6,FALSE),0)</f>
        <v>2900</v>
      </c>
      <c r="R272" s="4">
        <f t="shared" si="23"/>
        <v>1849.0500000000002</v>
      </c>
      <c r="S272" s="5">
        <f t="shared" si="24"/>
        <v>0.38935155452143061</v>
      </c>
    </row>
    <row r="273" spans="1:19" x14ac:dyDescent="0.3">
      <c r="A273" t="s">
        <v>324</v>
      </c>
      <c r="B273" s="2">
        <v>45719</v>
      </c>
      <c r="C273" t="s">
        <v>102</v>
      </c>
      <c r="D273" t="s">
        <v>56</v>
      </c>
      <c r="E273" t="str">
        <f>IFERROR(VLOOKUP(C273,Customer_Master!$A$2:$E$16,4,FALSE),"")</f>
        <v>West</v>
      </c>
      <c r="F273" t="str">
        <f>IFERROR(VLOOKUP(C273,Customer_Master!$A$2:$E$16,5,FALSE),"")</f>
        <v>Consumer</v>
      </c>
      <c r="G273">
        <v>4</v>
      </c>
      <c r="H273" s="3">
        <v>0.1</v>
      </c>
      <c r="I273" t="s">
        <v>29</v>
      </c>
      <c r="J273" t="s">
        <v>23</v>
      </c>
      <c r="K273" s="4">
        <f>IFERROR(VLOOKUP(D273,Product_Master!$A$2:$F$13,5,FALSE),0)</f>
        <v>3499</v>
      </c>
      <c r="L273" t="str">
        <f>IFERROR(VLOOKUP(D273,Product_Master!$A$2:$F$13,2,FALSE),"")</f>
        <v>Bluetooth Speaker</v>
      </c>
      <c r="M273" t="str">
        <f>IFERROR(VLOOKUP(D273,Product_Master!$A$2:$F$13,3,FALSE),"")</f>
        <v>Electronics</v>
      </c>
      <c r="N273" s="4">
        <f t="shared" si="20"/>
        <v>13996</v>
      </c>
      <c r="O273" s="4">
        <f t="shared" si="21"/>
        <v>1399.6000000000001</v>
      </c>
      <c r="P273" s="4">
        <f t="shared" si="22"/>
        <v>12596.4</v>
      </c>
      <c r="Q273" s="4">
        <f>G273*IFERROR(VLOOKUP(D273,Product_Master!$A$2:$F$13,6,FALSE),0)</f>
        <v>8200</v>
      </c>
      <c r="R273" s="4">
        <f t="shared" si="23"/>
        <v>4396.3999999999996</v>
      </c>
      <c r="S273" s="5">
        <f t="shared" si="24"/>
        <v>0.34902035502206979</v>
      </c>
    </row>
    <row r="274" spans="1:19" x14ac:dyDescent="0.3">
      <c r="A274" t="s">
        <v>325</v>
      </c>
      <c r="B274" s="2">
        <v>45803</v>
      </c>
      <c r="C274" t="s">
        <v>32</v>
      </c>
      <c r="D274" t="s">
        <v>92</v>
      </c>
      <c r="E274" t="str">
        <f>IFERROR(VLOOKUP(C274,Customer_Master!$A$2:$E$16,4,FALSE),"")</f>
        <v>East</v>
      </c>
      <c r="F274" t="str">
        <f>IFERROR(VLOOKUP(C274,Customer_Master!$A$2:$E$16,5,FALSE),"")</f>
        <v>Corporate</v>
      </c>
      <c r="G274">
        <v>4</v>
      </c>
      <c r="H274" s="3">
        <v>0.05</v>
      </c>
      <c r="I274" t="s">
        <v>26</v>
      </c>
      <c r="J274" t="s">
        <v>23</v>
      </c>
      <c r="K274" s="4">
        <f>IFERROR(VLOOKUP(D274,Product_Master!$A$2:$F$13,5,FALSE),0)</f>
        <v>4999</v>
      </c>
      <c r="L274" t="str">
        <f>IFERROR(VLOOKUP(D274,Product_Master!$A$2:$F$13,2,FALSE),"")</f>
        <v>Wireless Headphones</v>
      </c>
      <c r="M274" t="str">
        <f>IFERROR(VLOOKUP(D274,Product_Master!$A$2:$F$13,3,FALSE),"")</f>
        <v>Electronics</v>
      </c>
      <c r="N274" s="4">
        <f t="shared" si="20"/>
        <v>19996</v>
      </c>
      <c r="O274" s="4">
        <f t="shared" si="21"/>
        <v>999.80000000000007</v>
      </c>
      <c r="P274" s="4">
        <f t="shared" si="22"/>
        <v>18996.2</v>
      </c>
      <c r="Q274" s="4">
        <f>G274*IFERROR(VLOOKUP(D274,Product_Master!$A$2:$F$13,6,FALSE),0)</f>
        <v>11600</v>
      </c>
      <c r="R274" s="4">
        <f t="shared" si="23"/>
        <v>7396.2000000000007</v>
      </c>
      <c r="S274" s="5">
        <f t="shared" si="24"/>
        <v>0.38935155452143061</v>
      </c>
    </row>
    <row r="275" spans="1:19" x14ac:dyDescent="0.3">
      <c r="A275" t="s">
        <v>326</v>
      </c>
      <c r="B275" s="2">
        <v>45761</v>
      </c>
      <c r="C275" t="s">
        <v>87</v>
      </c>
      <c r="D275" t="s">
        <v>56</v>
      </c>
      <c r="E275" t="str">
        <f>IFERROR(VLOOKUP(C275,Customer_Master!$A$2:$E$16,4,FALSE),"")</f>
        <v>East</v>
      </c>
      <c r="F275" t="str">
        <f>IFERROR(VLOOKUP(C275,Customer_Master!$A$2:$E$16,5,FALSE),"")</f>
        <v>Small Business</v>
      </c>
      <c r="G275">
        <v>4</v>
      </c>
      <c r="H275" s="3">
        <v>0.05</v>
      </c>
      <c r="I275" t="s">
        <v>54</v>
      </c>
      <c r="J275" t="s">
        <v>23</v>
      </c>
      <c r="K275" s="4">
        <f>IFERROR(VLOOKUP(D275,Product_Master!$A$2:$F$13,5,FALSE),0)</f>
        <v>3499</v>
      </c>
      <c r="L275" t="str">
        <f>IFERROR(VLOOKUP(D275,Product_Master!$A$2:$F$13,2,FALSE),"")</f>
        <v>Bluetooth Speaker</v>
      </c>
      <c r="M275" t="str">
        <f>IFERROR(VLOOKUP(D275,Product_Master!$A$2:$F$13,3,FALSE),"")</f>
        <v>Electronics</v>
      </c>
      <c r="N275" s="4">
        <f t="shared" si="20"/>
        <v>13996</v>
      </c>
      <c r="O275" s="4">
        <f t="shared" si="21"/>
        <v>699.80000000000007</v>
      </c>
      <c r="P275" s="4">
        <f t="shared" si="22"/>
        <v>13296.2</v>
      </c>
      <c r="Q275" s="4">
        <f>G275*IFERROR(VLOOKUP(D275,Product_Master!$A$2:$F$13,6,FALSE),0)</f>
        <v>8200</v>
      </c>
      <c r="R275" s="4">
        <f t="shared" si="23"/>
        <v>5096.2000000000007</v>
      </c>
      <c r="S275" s="5">
        <f t="shared" si="24"/>
        <v>0.38328244159985564</v>
      </c>
    </row>
    <row r="276" spans="1:19" x14ac:dyDescent="0.3">
      <c r="A276" t="s">
        <v>327</v>
      </c>
      <c r="B276" s="2">
        <v>45833</v>
      </c>
      <c r="C276" t="s">
        <v>40</v>
      </c>
      <c r="D276" t="s">
        <v>48</v>
      </c>
      <c r="E276" t="str">
        <f>IFERROR(VLOOKUP(C276,Customer_Master!$A$2:$E$16,4,FALSE),"")</f>
        <v>West</v>
      </c>
      <c r="F276" t="str">
        <f>IFERROR(VLOOKUP(C276,Customer_Master!$A$2:$E$16,5,FALSE),"")</f>
        <v>Corporate</v>
      </c>
      <c r="G276">
        <v>4</v>
      </c>
      <c r="H276" s="3">
        <v>0.05</v>
      </c>
      <c r="I276" t="s">
        <v>49</v>
      </c>
      <c r="J276" t="s">
        <v>30</v>
      </c>
      <c r="K276" s="4">
        <f>IFERROR(VLOOKUP(D276,Product_Master!$A$2:$F$13,5,FALSE),0)</f>
        <v>62999</v>
      </c>
      <c r="L276" t="str">
        <f>IFERROR(VLOOKUP(D276,Product_Master!$A$2:$F$13,2,FALSE),"")</f>
        <v>Laptop Air 13</v>
      </c>
      <c r="M276" t="str">
        <f>IFERROR(VLOOKUP(D276,Product_Master!$A$2:$F$13,3,FALSE),"")</f>
        <v>Electronics</v>
      </c>
      <c r="N276" s="4">
        <f t="shared" si="20"/>
        <v>251996</v>
      </c>
      <c r="O276" s="4">
        <f t="shared" si="21"/>
        <v>12599.800000000001</v>
      </c>
      <c r="P276" s="4">
        <f t="shared" si="22"/>
        <v>239396.2</v>
      </c>
      <c r="Q276" s="4">
        <f>G276*IFERROR(VLOOKUP(D276,Product_Master!$A$2:$F$13,6,FALSE),0)</f>
        <v>196000</v>
      </c>
      <c r="R276" s="4">
        <f t="shared" si="23"/>
        <v>43396.200000000012</v>
      </c>
      <c r="S276" s="5">
        <f t="shared" si="24"/>
        <v>0.18127355404973014</v>
      </c>
    </row>
    <row r="277" spans="1:19" x14ac:dyDescent="0.3">
      <c r="A277" t="s">
        <v>328</v>
      </c>
      <c r="B277" s="2">
        <v>45941</v>
      </c>
      <c r="C277" t="s">
        <v>76</v>
      </c>
      <c r="D277" t="s">
        <v>52</v>
      </c>
      <c r="E277" t="str">
        <f>IFERROR(VLOOKUP(C277,Customer_Master!$A$2:$E$16,4,FALSE),"")</f>
        <v>West</v>
      </c>
      <c r="F277" t="str">
        <f>IFERROR(VLOOKUP(C277,Customer_Master!$A$2:$E$16,5,FALSE),"")</f>
        <v>Small Business</v>
      </c>
      <c r="G277">
        <v>3</v>
      </c>
      <c r="H277" s="3">
        <v>0</v>
      </c>
      <c r="I277" t="s">
        <v>49</v>
      </c>
      <c r="J277" t="s">
        <v>23</v>
      </c>
      <c r="K277" s="4">
        <f>IFERROR(VLOOKUP(D277,Product_Master!$A$2:$F$13,5,FALSE),0)</f>
        <v>6999</v>
      </c>
      <c r="L277" t="str">
        <f>IFERROR(VLOOKUP(D277,Product_Master!$A$2:$F$13,2,FALSE),"")</f>
        <v>Study Desk</v>
      </c>
      <c r="M277" t="str">
        <f>IFERROR(VLOOKUP(D277,Product_Master!$A$2:$F$13,3,FALSE),"")</f>
        <v>Furniture</v>
      </c>
      <c r="N277" s="4">
        <f t="shared" si="20"/>
        <v>20997</v>
      </c>
      <c r="O277" s="4">
        <f t="shared" si="21"/>
        <v>0</v>
      </c>
      <c r="P277" s="4">
        <f t="shared" si="22"/>
        <v>20997</v>
      </c>
      <c r="Q277" s="4">
        <f>G277*IFERROR(VLOOKUP(D277,Product_Master!$A$2:$F$13,6,FALSE),0)</f>
        <v>13500</v>
      </c>
      <c r="R277" s="4">
        <f t="shared" si="23"/>
        <v>7497</v>
      </c>
      <c r="S277" s="5">
        <f t="shared" si="24"/>
        <v>0.35705100728675526</v>
      </c>
    </row>
    <row r="278" spans="1:19" x14ac:dyDescent="0.3">
      <c r="A278" t="s">
        <v>329</v>
      </c>
      <c r="B278" s="2">
        <v>45865</v>
      </c>
      <c r="C278" t="s">
        <v>45</v>
      </c>
      <c r="D278" t="s">
        <v>48</v>
      </c>
      <c r="E278" t="str">
        <f>IFERROR(VLOOKUP(C278,Customer_Master!$A$2:$E$16,4,FALSE),"")</f>
        <v>North</v>
      </c>
      <c r="F278" t="str">
        <f>IFERROR(VLOOKUP(C278,Customer_Master!$A$2:$E$16,5,FALSE),"")</f>
        <v>Consumer</v>
      </c>
      <c r="G278">
        <v>3</v>
      </c>
      <c r="H278" s="3">
        <v>0</v>
      </c>
      <c r="I278" t="s">
        <v>49</v>
      </c>
      <c r="J278" t="s">
        <v>23</v>
      </c>
      <c r="K278" s="4">
        <f>IFERROR(VLOOKUP(D278,Product_Master!$A$2:$F$13,5,FALSE),0)</f>
        <v>62999</v>
      </c>
      <c r="L278" t="str">
        <f>IFERROR(VLOOKUP(D278,Product_Master!$A$2:$F$13,2,FALSE),"")</f>
        <v>Laptop Air 13</v>
      </c>
      <c r="M278" t="str">
        <f>IFERROR(VLOOKUP(D278,Product_Master!$A$2:$F$13,3,FALSE),"")</f>
        <v>Electronics</v>
      </c>
      <c r="N278" s="4">
        <f t="shared" si="20"/>
        <v>188997</v>
      </c>
      <c r="O278" s="4">
        <f t="shared" si="21"/>
        <v>0</v>
      </c>
      <c r="P278" s="4">
        <f t="shared" si="22"/>
        <v>188997</v>
      </c>
      <c r="Q278" s="4">
        <f>G278*IFERROR(VLOOKUP(D278,Product_Master!$A$2:$F$13,6,FALSE),0)</f>
        <v>147000</v>
      </c>
      <c r="R278" s="4">
        <f t="shared" si="23"/>
        <v>41997</v>
      </c>
      <c r="S278" s="5">
        <f t="shared" si="24"/>
        <v>0.2222098763472436</v>
      </c>
    </row>
    <row r="279" spans="1:19" x14ac:dyDescent="0.3">
      <c r="A279" t="s">
        <v>330</v>
      </c>
      <c r="B279" s="2">
        <v>45811</v>
      </c>
      <c r="C279" t="s">
        <v>65</v>
      </c>
      <c r="D279" t="s">
        <v>70</v>
      </c>
      <c r="E279" t="str">
        <f>IFERROR(VLOOKUP(C279,Customer_Master!$A$2:$E$16,4,FALSE),"")</f>
        <v>Central</v>
      </c>
      <c r="F279" t="str">
        <f>IFERROR(VLOOKUP(C279,Customer_Master!$A$2:$E$16,5,FALSE),"")</f>
        <v>Consumer</v>
      </c>
      <c r="G279">
        <v>4</v>
      </c>
      <c r="H279" s="3">
        <v>0.05</v>
      </c>
      <c r="I279" t="s">
        <v>54</v>
      </c>
      <c r="J279" t="s">
        <v>23</v>
      </c>
      <c r="K279" s="4">
        <f>IFERROR(VLOOKUP(D279,Product_Master!$A$2:$F$13,5,FALSE),0)</f>
        <v>2499</v>
      </c>
      <c r="L279" t="str">
        <f>IFERROR(VLOOKUP(D279,Product_Master!$A$2:$F$13,2,FALSE),"")</f>
        <v>USB-C Hub</v>
      </c>
      <c r="M279" t="str">
        <f>IFERROR(VLOOKUP(D279,Product_Master!$A$2:$F$13,3,FALSE),"")</f>
        <v>Accessories</v>
      </c>
      <c r="N279" s="4">
        <f t="shared" si="20"/>
        <v>9996</v>
      </c>
      <c r="O279" s="4">
        <f t="shared" si="21"/>
        <v>499.8</v>
      </c>
      <c r="P279" s="4">
        <f t="shared" si="22"/>
        <v>9496.2000000000007</v>
      </c>
      <c r="Q279" s="4">
        <f>G279*IFERROR(VLOOKUP(D279,Product_Master!$A$2:$F$13,6,FALSE),0)</f>
        <v>5800</v>
      </c>
      <c r="R279" s="4">
        <f t="shared" si="23"/>
        <v>3696.2000000000007</v>
      </c>
      <c r="S279" s="5">
        <f t="shared" si="24"/>
        <v>0.38922937596091073</v>
      </c>
    </row>
    <row r="280" spans="1:19" x14ac:dyDescent="0.3">
      <c r="A280" t="s">
        <v>331</v>
      </c>
      <c r="B280" s="2">
        <v>45835</v>
      </c>
      <c r="C280" t="s">
        <v>35</v>
      </c>
      <c r="D280" t="s">
        <v>38</v>
      </c>
      <c r="E280" t="str">
        <f>IFERROR(VLOOKUP(C280,Customer_Master!$A$2:$E$16,4,FALSE),"")</f>
        <v>North</v>
      </c>
      <c r="F280" t="str">
        <f>IFERROR(VLOOKUP(C280,Customer_Master!$A$2:$E$16,5,FALSE),"")</f>
        <v>Corporate</v>
      </c>
      <c r="G280">
        <v>3</v>
      </c>
      <c r="H280" s="3">
        <v>0.05</v>
      </c>
      <c r="I280" t="s">
        <v>22</v>
      </c>
      <c r="J280" t="s">
        <v>23</v>
      </c>
      <c r="K280" s="4">
        <f>IFERROR(VLOOKUP(D280,Product_Master!$A$2:$F$13,5,FALSE),0)</f>
        <v>74999</v>
      </c>
      <c r="L280" t="str">
        <f>IFERROR(VLOOKUP(D280,Product_Master!$A$2:$F$13,2,FALSE),"")</f>
        <v>Laptop Pro 14</v>
      </c>
      <c r="M280" t="str">
        <f>IFERROR(VLOOKUP(D280,Product_Master!$A$2:$F$13,3,FALSE),"")</f>
        <v>Electronics</v>
      </c>
      <c r="N280" s="4">
        <f t="shared" si="20"/>
        <v>224997</v>
      </c>
      <c r="O280" s="4">
        <f t="shared" si="21"/>
        <v>11249.85</v>
      </c>
      <c r="P280" s="4">
        <f t="shared" si="22"/>
        <v>213747.15</v>
      </c>
      <c r="Q280" s="4">
        <f>G280*IFERROR(VLOOKUP(D280,Product_Master!$A$2:$F$13,6,FALSE),0)</f>
        <v>175500</v>
      </c>
      <c r="R280" s="4">
        <f t="shared" si="23"/>
        <v>38247.149999999994</v>
      </c>
      <c r="S280" s="5">
        <f t="shared" si="24"/>
        <v>0.1789364209066647</v>
      </c>
    </row>
    <row r="281" spans="1:19" x14ac:dyDescent="0.3">
      <c r="A281" t="s">
        <v>332</v>
      </c>
      <c r="B281" s="2">
        <v>45753</v>
      </c>
      <c r="C281" t="s">
        <v>76</v>
      </c>
      <c r="D281" t="s">
        <v>43</v>
      </c>
      <c r="E281" t="str">
        <f>IFERROR(VLOOKUP(C281,Customer_Master!$A$2:$E$16,4,FALSE),"")</f>
        <v>West</v>
      </c>
      <c r="F281" t="str">
        <f>IFERROR(VLOOKUP(C281,Customer_Master!$A$2:$E$16,5,FALSE),"")</f>
        <v>Small Business</v>
      </c>
      <c r="G281">
        <v>6</v>
      </c>
      <c r="H281" s="3">
        <v>0.1</v>
      </c>
      <c r="I281" t="s">
        <v>49</v>
      </c>
      <c r="J281" t="s">
        <v>30</v>
      </c>
      <c r="K281" s="4">
        <f>IFERROR(VLOOKUP(D281,Product_Master!$A$2:$F$13,5,FALSE),0)</f>
        <v>8999</v>
      </c>
      <c r="L281" t="str">
        <f>IFERROR(VLOOKUP(D281,Product_Master!$A$2:$F$13,2,FALSE),"")</f>
        <v>Office Chair</v>
      </c>
      <c r="M281" t="str">
        <f>IFERROR(VLOOKUP(D281,Product_Master!$A$2:$F$13,3,FALSE),"")</f>
        <v>Furniture</v>
      </c>
      <c r="N281" s="4">
        <f t="shared" si="20"/>
        <v>53994</v>
      </c>
      <c r="O281" s="4">
        <f t="shared" si="21"/>
        <v>5399.4000000000005</v>
      </c>
      <c r="P281" s="4">
        <f t="shared" si="22"/>
        <v>48594.6</v>
      </c>
      <c r="Q281" s="4">
        <f>G281*IFERROR(VLOOKUP(D281,Product_Master!$A$2:$F$13,6,FALSE),0)</f>
        <v>36600</v>
      </c>
      <c r="R281" s="4">
        <f t="shared" si="23"/>
        <v>11994.599999999999</v>
      </c>
      <c r="S281" s="5">
        <f t="shared" si="24"/>
        <v>0.24682989467965574</v>
      </c>
    </row>
    <row r="282" spans="1:19" x14ac:dyDescent="0.3">
      <c r="A282" t="s">
        <v>333</v>
      </c>
      <c r="B282" s="2">
        <v>45673</v>
      </c>
      <c r="C282" t="s">
        <v>45</v>
      </c>
      <c r="D282" t="s">
        <v>92</v>
      </c>
      <c r="E282" t="str">
        <f>IFERROR(VLOOKUP(C282,Customer_Master!$A$2:$E$16,4,FALSE),"")</f>
        <v>North</v>
      </c>
      <c r="F282" t="str">
        <f>IFERROR(VLOOKUP(C282,Customer_Master!$A$2:$E$16,5,FALSE),"")</f>
        <v>Consumer</v>
      </c>
      <c r="G282">
        <v>5</v>
      </c>
      <c r="H282" s="3">
        <v>0.05</v>
      </c>
      <c r="I282" t="s">
        <v>29</v>
      </c>
      <c r="J282" t="s">
        <v>23</v>
      </c>
      <c r="K282" s="4">
        <f>IFERROR(VLOOKUP(D282,Product_Master!$A$2:$F$13,5,FALSE),0)</f>
        <v>4999</v>
      </c>
      <c r="L282" t="str">
        <f>IFERROR(VLOOKUP(D282,Product_Master!$A$2:$F$13,2,FALSE),"")</f>
        <v>Wireless Headphones</v>
      </c>
      <c r="M282" t="str">
        <f>IFERROR(VLOOKUP(D282,Product_Master!$A$2:$F$13,3,FALSE),"")</f>
        <v>Electronics</v>
      </c>
      <c r="N282" s="4">
        <f t="shared" si="20"/>
        <v>24995</v>
      </c>
      <c r="O282" s="4">
        <f t="shared" si="21"/>
        <v>1249.75</v>
      </c>
      <c r="P282" s="4">
        <f t="shared" si="22"/>
        <v>23745.25</v>
      </c>
      <c r="Q282" s="4">
        <f>G282*IFERROR(VLOOKUP(D282,Product_Master!$A$2:$F$13,6,FALSE),0)</f>
        <v>14500</v>
      </c>
      <c r="R282" s="4">
        <f t="shared" si="23"/>
        <v>9245.25</v>
      </c>
      <c r="S282" s="5">
        <f t="shared" si="24"/>
        <v>0.38935155452143061</v>
      </c>
    </row>
    <row r="283" spans="1:19" x14ac:dyDescent="0.3">
      <c r="A283" t="s">
        <v>334</v>
      </c>
      <c r="B283" s="2">
        <v>45868</v>
      </c>
      <c r="C283" t="s">
        <v>37</v>
      </c>
      <c r="D283" t="s">
        <v>21</v>
      </c>
      <c r="E283" t="str">
        <f>IFERROR(VLOOKUP(C283,Customer_Master!$A$2:$E$16,4,FALSE),"")</f>
        <v>North</v>
      </c>
      <c r="F283" t="str">
        <f>IFERROR(VLOOKUP(C283,Customer_Master!$A$2:$E$16,5,FALSE),"")</f>
        <v>Consumer</v>
      </c>
      <c r="G283">
        <v>5</v>
      </c>
      <c r="H283" s="3">
        <v>0.1</v>
      </c>
      <c r="I283" t="s">
        <v>29</v>
      </c>
      <c r="J283" t="s">
        <v>23</v>
      </c>
      <c r="K283" s="4">
        <f>IFERROR(VLOOKUP(D283,Product_Master!$A$2:$F$13,5,FALSE),0)</f>
        <v>1499</v>
      </c>
      <c r="L283" t="str">
        <f>IFERROR(VLOOKUP(D283,Product_Master!$A$2:$F$13,2,FALSE),"")</f>
        <v>Wireless Mouse</v>
      </c>
      <c r="M283" t="str">
        <f>IFERROR(VLOOKUP(D283,Product_Master!$A$2:$F$13,3,FALSE),"")</f>
        <v>Accessories</v>
      </c>
      <c r="N283" s="4">
        <f t="shared" si="20"/>
        <v>7495</v>
      </c>
      <c r="O283" s="4">
        <f t="shared" si="21"/>
        <v>749.5</v>
      </c>
      <c r="P283" s="4">
        <f t="shared" si="22"/>
        <v>6745.5</v>
      </c>
      <c r="Q283" s="4">
        <f>G283*IFERROR(VLOOKUP(D283,Product_Master!$A$2:$F$13,6,FALSE),0)</f>
        <v>3750</v>
      </c>
      <c r="R283" s="4">
        <f t="shared" si="23"/>
        <v>2995.5</v>
      </c>
      <c r="S283" s="5">
        <f t="shared" si="24"/>
        <v>0.44407382699577497</v>
      </c>
    </row>
    <row r="284" spans="1:19" x14ac:dyDescent="0.3">
      <c r="A284" t="s">
        <v>335</v>
      </c>
      <c r="B284" s="2">
        <v>45888</v>
      </c>
      <c r="C284" t="s">
        <v>102</v>
      </c>
      <c r="D284" t="s">
        <v>33</v>
      </c>
      <c r="E284" t="str">
        <f>IFERROR(VLOOKUP(C284,Customer_Master!$A$2:$E$16,4,FALSE),"")</f>
        <v>West</v>
      </c>
      <c r="F284" t="str">
        <f>IFERROR(VLOOKUP(C284,Customer_Master!$A$2:$E$16,5,FALSE),"")</f>
        <v>Consumer</v>
      </c>
      <c r="G284">
        <v>4</v>
      </c>
      <c r="H284" s="3">
        <v>0.1</v>
      </c>
      <c r="I284" t="s">
        <v>29</v>
      </c>
      <c r="J284" t="s">
        <v>23</v>
      </c>
      <c r="K284" s="4">
        <f>IFERROR(VLOOKUP(D284,Product_Master!$A$2:$F$13,5,FALSE),0)</f>
        <v>3999</v>
      </c>
      <c r="L284" t="str">
        <f>IFERROR(VLOOKUP(D284,Product_Master!$A$2:$F$13,2,FALSE),"")</f>
        <v>Mechanical Keyboard</v>
      </c>
      <c r="M284" t="str">
        <f>IFERROR(VLOOKUP(D284,Product_Master!$A$2:$F$13,3,FALSE),"")</f>
        <v>Accessories</v>
      </c>
      <c r="N284" s="4">
        <f t="shared" si="20"/>
        <v>15996</v>
      </c>
      <c r="O284" s="4">
        <f t="shared" si="21"/>
        <v>1599.6000000000001</v>
      </c>
      <c r="P284" s="4">
        <f t="shared" si="22"/>
        <v>14396.4</v>
      </c>
      <c r="Q284" s="4">
        <f>G284*IFERROR(VLOOKUP(D284,Product_Master!$A$2:$F$13,6,FALSE),0)</f>
        <v>9400</v>
      </c>
      <c r="R284" s="4">
        <f t="shared" si="23"/>
        <v>4996.3999999999996</v>
      </c>
      <c r="S284" s="5">
        <f t="shared" si="24"/>
        <v>0.34705898696896442</v>
      </c>
    </row>
    <row r="285" spans="1:19" x14ac:dyDescent="0.3">
      <c r="A285" t="s">
        <v>336</v>
      </c>
      <c r="B285" s="2">
        <v>45797</v>
      </c>
      <c r="C285" t="s">
        <v>82</v>
      </c>
      <c r="D285" t="s">
        <v>21</v>
      </c>
      <c r="E285" t="str">
        <f>IFERROR(VLOOKUP(C285,Customer_Master!$A$2:$E$16,4,FALSE),"")</f>
        <v>Central</v>
      </c>
      <c r="F285" t="str">
        <f>IFERROR(VLOOKUP(C285,Customer_Master!$A$2:$E$16,5,FALSE),"")</f>
        <v>Small Business</v>
      </c>
      <c r="G285">
        <v>3</v>
      </c>
      <c r="H285" s="3">
        <v>0.1</v>
      </c>
      <c r="I285" t="s">
        <v>54</v>
      </c>
      <c r="J285" t="s">
        <v>23</v>
      </c>
      <c r="K285" s="4">
        <f>IFERROR(VLOOKUP(D285,Product_Master!$A$2:$F$13,5,FALSE),0)</f>
        <v>1499</v>
      </c>
      <c r="L285" t="str">
        <f>IFERROR(VLOOKUP(D285,Product_Master!$A$2:$F$13,2,FALSE),"")</f>
        <v>Wireless Mouse</v>
      </c>
      <c r="M285" t="str">
        <f>IFERROR(VLOOKUP(D285,Product_Master!$A$2:$F$13,3,FALSE),"")</f>
        <v>Accessories</v>
      </c>
      <c r="N285" s="4">
        <f t="shared" si="20"/>
        <v>4497</v>
      </c>
      <c r="O285" s="4">
        <f t="shared" si="21"/>
        <v>449.70000000000005</v>
      </c>
      <c r="P285" s="4">
        <f t="shared" si="22"/>
        <v>4047.3</v>
      </c>
      <c r="Q285" s="4">
        <f>G285*IFERROR(VLOOKUP(D285,Product_Master!$A$2:$F$13,6,FALSE),0)</f>
        <v>2250</v>
      </c>
      <c r="R285" s="4">
        <f t="shared" si="23"/>
        <v>1797.3000000000002</v>
      </c>
      <c r="S285" s="5">
        <f t="shared" si="24"/>
        <v>0.44407382699577497</v>
      </c>
    </row>
    <row r="286" spans="1:19" x14ac:dyDescent="0.3">
      <c r="A286" t="s">
        <v>337</v>
      </c>
      <c r="B286" s="2">
        <v>45967</v>
      </c>
      <c r="C286" t="s">
        <v>35</v>
      </c>
      <c r="D286" t="s">
        <v>62</v>
      </c>
      <c r="E286" t="str">
        <f>IFERROR(VLOOKUP(C286,Customer_Master!$A$2:$E$16,4,FALSE),"")</f>
        <v>North</v>
      </c>
      <c r="F286" t="str">
        <f>IFERROR(VLOOKUP(C286,Customer_Master!$A$2:$E$16,5,FALSE),"")</f>
        <v>Corporate</v>
      </c>
      <c r="G286">
        <v>2</v>
      </c>
      <c r="H286" s="3">
        <v>0.05</v>
      </c>
      <c r="I286" t="s">
        <v>26</v>
      </c>
      <c r="J286" t="s">
        <v>23</v>
      </c>
      <c r="K286" s="4">
        <f>IFERROR(VLOOKUP(D286,Product_Master!$A$2:$F$13,5,FALSE),0)</f>
        <v>39999</v>
      </c>
      <c r="L286" t="str">
        <f>IFERROR(VLOOKUP(D286,Product_Master!$A$2:$F$13,2,FALSE),"")</f>
        <v>Smartphone X</v>
      </c>
      <c r="M286" t="str">
        <f>IFERROR(VLOOKUP(D286,Product_Master!$A$2:$F$13,3,FALSE),"")</f>
        <v>Electronics</v>
      </c>
      <c r="N286" s="4">
        <f t="shared" si="20"/>
        <v>79998</v>
      </c>
      <c r="O286" s="4">
        <f t="shared" si="21"/>
        <v>3999.9</v>
      </c>
      <c r="P286" s="4">
        <f t="shared" si="22"/>
        <v>75998.100000000006</v>
      </c>
      <c r="Q286" s="4">
        <f>G286*IFERROR(VLOOKUP(D286,Product_Master!$A$2:$F$13,6,FALSE),0)</f>
        <v>60000</v>
      </c>
      <c r="R286" s="4">
        <f t="shared" si="23"/>
        <v>15998.100000000006</v>
      </c>
      <c r="S286" s="5">
        <f t="shared" si="24"/>
        <v>0.21050657845393508</v>
      </c>
    </row>
    <row r="287" spans="1:19" x14ac:dyDescent="0.3">
      <c r="A287" t="s">
        <v>338</v>
      </c>
      <c r="B287" s="2">
        <v>45778</v>
      </c>
      <c r="C287" t="s">
        <v>82</v>
      </c>
      <c r="D287" t="s">
        <v>41</v>
      </c>
      <c r="E287" t="str">
        <f>IFERROR(VLOOKUP(C287,Customer_Master!$A$2:$E$16,4,FALSE),"")</f>
        <v>Central</v>
      </c>
      <c r="F287" t="str">
        <f>IFERROR(VLOOKUP(C287,Customer_Master!$A$2:$E$16,5,FALSE),"")</f>
        <v>Small Business</v>
      </c>
      <c r="G287">
        <v>5</v>
      </c>
      <c r="H287" s="3">
        <v>0</v>
      </c>
      <c r="I287" t="s">
        <v>22</v>
      </c>
      <c r="J287" t="s">
        <v>23</v>
      </c>
      <c r="K287" s="4">
        <f>IFERROR(VLOOKUP(D287,Product_Master!$A$2:$F$13,5,FALSE),0)</f>
        <v>24999</v>
      </c>
      <c r="L287" t="str">
        <f>IFERROR(VLOOKUP(D287,Product_Master!$A$2:$F$13,2,FALSE),"")</f>
        <v>Smartphone Lite</v>
      </c>
      <c r="M287" t="str">
        <f>IFERROR(VLOOKUP(D287,Product_Master!$A$2:$F$13,3,FALSE),"")</f>
        <v>Electronics</v>
      </c>
      <c r="N287" s="4">
        <f t="shared" si="20"/>
        <v>124995</v>
      </c>
      <c r="O287" s="4">
        <f t="shared" si="21"/>
        <v>0</v>
      </c>
      <c r="P287" s="4">
        <f t="shared" si="22"/>
        <v>124995</v>
      </c>
      <c r="Q287" s="4">
        <f>G287*IFERROR(VLOOKUP(D287,Product_Master!$A$2:$F$13,6,FALSE),0)</f>
        <v>92500</v>
      </c>
      <c r="R287" s="4">
        <f t="shared" si="23"/>
        <v>32495</v>
      </c>
      <c r="S287" s="5">
        <f t="shared" si="24"/>
        <v>0.25997039881595263</v>
      </c>
    </row>
    <row r="288" spans="1:19" x14ac:dyDescent="0.3">
      <c r="A288" t="s">
        <v>339</v>
      </c>
      <c r="B288" s="2">
        <v>45938</v>
      </c>
      <c r="C288" t="s">
        <v>35</v>
      </c>
      <c r="D288" t="s">
        <v>41</v>
      </c>
      <c r="E288" t="str">
        <f>IFERROR(VLOOKUP(C288,Customer_Master!$A$2:$E$16,4,FALSE),"")</f>
        <v>North</v>
      </c>
      <c r="F288" t="str">
        <f>IFERROR(VLOOKUP(C288,Customer_Master!$A$2:$E$16,5,FALSE),"")</f>
        <v>Corporate</v>
      </c>
      <c r="G288">
        <v>4</v>
      </c>
      <c r="H288" s="3">
        <v>0.15</v>
      </c>
      <c r="I288" t="s">
        <v>29</v>
      </c>
      <c r="J288" t="s">
        <v>30</v>
      </c>
      <c r="K288" s="4">
        <f>IFERROR(VLOOKUP(D288,Product_Master!$A$2:$F$13,5,FALSE),0)</f>
        <v>24999</v>
      </c>
      <c r="L288" t="str">
        <f>IFERROR(VLOOKUP(D288,Product_Master!$A$2:$F$13,2,FALSE),"")</f>
        <v>Smartphone Lite</v>
      </c>
      <c r="M288" t="str">
        <f>IFERROR(VLOOKUP(D288,Product_Master!$A$2:$F$13,3,FALSE),"")</f>
        <v>Electronics</v>
      </c>
      <c r="N288" s="4">
        <f t="shared" si="20"/>
        <v>99996</v>
      </c>
      <c r="O288" s="4">
        <f t="shared" si="21"/>
        <v>14999.4</v>
      </c>
      <c r="P288" s="4">
        <f t="shared" si="22"/>
        <v>84996.6</v>
      </c>
      <c r="Q288" s="4">
        <f>G288*IFERROR(VLOOKUP(D288,Product_Master!$A$2:$F$13,6,FALSE),0)</f>
        <v>74000</v>
      </c>
      <c r="R288" s="4">
        <f t="shared" si="23"/>
        <v>10996.600000000006</v>
      </c>
      <c r="S288" s="5">
        <f t="shared" si="24"/>
        <v>0.12937693978347375</v>
      </c>
    </row>
    <row r="289" spans="1:19" x14ac:dyDescent="0.3">
      <c r="A289" t="s">
        <v>340</v>
      </c>
      <c r="B289" s="2">
        <v>46011</v>
      </c>
      <c r="C289" t="s">
        <v>65</v>
      </c>
      <c r="D289" t="s">
        <v>21</v>
      </c>
      <c r="E289" t="str">
        <f>IFERROR(VLOOKUP(C289,Customer_Master!$A$2:$E$16,4,FALSE),"")</f>
        <v>Central</v>
      </c>
      <c r="F289" t="str">
        <f>IFERROR(VLOOKUP(C289,Customer_Master!$A$2:$E$16,5,FALSE),"")</f>
        <v>Consumer</v>
      </c>
      <c r="G289">
        <v>3</v>
      </c>
      <c r="H289" s="3">
        <v>0.05</v>
      </c>
      <c r="I289" t="s">
        <v>54</v>
      </c>
      <c r="J289" t="s">
        <v>23</v>
      </c>
      <c r="K289" s="4">
        <f>IFERROR(VLOOKUP(D289,Product_Master!$A$2:$F$13,5,FALSE),0)</f>
        <v>1499</v>
      </c>
      <c r="L289" t="str">
        <f>IFERROR(VLOOKUP(D289,Product_Master!$A$2:$F$13,2,FALSE),"")</f>
        <v>Wireless Mouse</v>
      </c>
      <c r="M289" t="str">
        <f>IFERROR(VLOOKUP(D289,Product_Master!$A$2:$F$13,3,FALSE),"")</f>
        <v>Accessories</v>
      </c>
      <c r="N289" s="4">
        <f t="shared" si="20"/>
        <v>4497</v>
      </c>
      <c r="O289" s="4">
        <f t="shared" si="21"/>
        <v>224.85000000000002</v>
      </c>
      <c r="P289" s="4">
        <f t="shared" si="22"/>
        <v>4272.1499999999996</v>
      </c>
      <c r="Q289" s="4">
        <f>G289*IFERROR(VLOOKUP(D289,Product_Master!$A$2:$F$13,6,FALSE),0)</f>
        <v>2250</v>
      </c>
      <c r="R289" s="4">
        <f t="shared" si="23"/>
        <v>2022.1499999999996</v>
      </c>
      <c r="S289" s="5">
        <f t="shared" si="24"/>
        <v>0.47333309925915518</v>
      </c>
    </row>
    <row r="290" spans="1:19" x14ac:dyDescent="0.3">
      <c r="A290" t="s">
        <v>341</v>
      </c>
      <c r="B290" s="2">
        <v>45818</v>
      </c>
      <c r="C290" t="s">
        <v>87</v>
      </c>
      <c r="D290" t="s">
        <v>38</v>
      </c>
      <c r="E290" t="str">
        <f>IFERROR(VLOOKUP(C290,Customer_Master!$A$2:$E$16,4,FALSE),"")</f>
        <v>East</v>
      </c>
      <c r="F290" t="str">
        <f>IFERROR(VLOOKUP(C290,Customer_Master!$A$2:$E$16,5,FALSE),"")</f>
        <v>Small Business</v>
      </c>
      <c r="G290">
        <v>6</v>
      </c>
      <c r="H290" s="3">
        <v>0.05</v>
      </c>
      <c r="I290" t="s">
        <v>49</v>
      </c>
      <c r="J290" t="s">
        <v>23</v>
      </c>
      <c r="K290" s="4">
        <f>IFERROR(VLOOKUP(D290,Product_Master!$A$2:$F$13,5,FALSE),0)</f>
        <v>74999</v>
      </c>
      <c r="L290" t="str">
        <f>IFERROR(VLOOKUP(D290,Product_Master!$A$2:$F$13,2,FALSE),"")</f>
        <v>Laptop Pro 14</v>
      </c>
      <c r="M290" t="str">
        <f>IFERROR(VLOOKUP(D290,Product_Master!$A$2:$F$13,3,FALSE),"")</f>
        <v>Electronics</v>
      </c>
      <c r="N290" s="4">
        <f t="shared" si="20"/>
        <v>449994</v>
      </c>
      <c r="O290" s="4">
        <f t="shared" si="21"/>
        <v>22499.7</v>
      </c>
      <c r="P290" s="4">
        <f t="shared" si="22"/>
        <v>427494.3</v>
      </c>
      <c r="Q290" s="4">
        <f>G290*IFERROR(VLOOKUP(D290,Product_Master!$A$2:$F$13,6,FALSE),0)</f>
        <v>351000</v>
      </c>
      <c r="R290" s="4">
        <f t="shared" si="23"/>
        <v>76494.299999999988</v>
      </c>
      <c r="S290" s="5">
        <f t="shared" si="24"/>
        <v>0.1789364209066647</v>
      </c>
    </row>
    <row r="291" spans="1:19" x14ac:dyDescent="0.3">
      <c r="A291" t="s">
        <v>342</v>
      </c>
      <c r="B291" s="2">
        <v>45739</v>
      </c>
      <c r="C291" t="s">
        <v>61</v>
      </c>
      <c r="D291" t="s">
        <v>62</v>
      </c>
      <c r="E291" t="str">
        <f>IFERROR(VLOOKUP(C291,Customer_Master!$A$2:$E$16,4,FALSE),"")</f>
        <v>South</v>
      </c>
      <c r="F291" t="str">
        <f>IFERROR(VLOOKUP(C291,Customer_Master!$A$2:$E$16,5,FALSE),"")</f>
        <v>Consumer</v>
      </c>
      <c r="G291">
        <v>3</v>
      </c>
      <c r="H291" s="3">
        <v>0.15</v>
      </c>
      <c r="I291" t="s">
        <v>49</v>
      </c>
      <c r="J291" t="s">
        <v>30</v>
      </c>
      <c r="K291" s="4">
        <f>IFERROR(VLOOKUP(D291,Product_Master!$A$2:$F$13,5,FALSE),0)</f>
        <v>39999</v>
      </c>
      <c r="L291" t="str">
        <f>IFERROR(VLOOKUP(D291,Product_Master!$A$2:$F$13,2,FALSE),"")</f>
        <v>Smartphone X</v>
      </c>
      <c r="M291" t="str">
        <f>IFERROR(VLOOKUP(D291,Product_Master!$A$2:$F$13,3,FALSE),"")</f>
        <v>Electronics</v>
      </c>
      <c r="N291" s="4">
        <f t="shared" si="20"/>
        <v>119997</v>
      </c>
      <c r="O291" s="4">
        <f t="shared" si="21"/>
        <v>17999.55</v>
      </c>
      <c r="P291" s="4">
        <f t="shared" si="22"/>
        <v>101997.45</v>
      </c>
      <c r="Q291" s="4">
        <f>G291*IFERROR(VLOOKUP(D291,Product_Master!$A$2:$F$13,6,FALSE),0)</f>
        <v>90000</v>
      </c>
      <c r="R291" s="4">
        <f t="shared" si="23"/>
        <v>11997.449999999997</v>
      </c>
      <c r="S291" s="5">
        <f t="shared" si="24"/>
        <v>0.11762499944851559</v>
      </c>
    </row>
    <row r="292" spans="1:19" x14ac:dyDescent="0.3">
      <c r="A292" t="s">
        <v>343</v>
      </c>
      <c r="B292" s="2">
        <v>45870</v>
      </c>
      <c r="C292" t="s">
        <v>76</v>
      </c>
      <c r="D292" t="s">
        <v>92</v>
      </c>
      <c r="E292" t="str">
        <f>IFERROR(VLOOKUP(C292,Customer_Master!$A$2:$E$16,4,FALSE),"")</f>
        <v>West</v>
      </c>
      <c r="F292" t="str">
        <f>IFERROR(VLOOKUP(C292,Customer_Master!$A$2:$E$16,5,FALSE),"")</f>
        <v>Small Business</v>
      </c>
      <c r="G292">
        <v>3</v>
      </c>
      <c r="H292" s="3">
        <v>0.05</v>
      </c>
      <c r="I292" t="s">
        <v>22</v>
      </c>
      <c r="J292" t="s">
        <v>23</v>
      </c>
      <c r="K292" s="4">
        <f>IFERROR(VLOOKUP(D292,Product_Master!$A$2:$F$13,5,FALSE),0)</f>
        <v>4999</v>
      </c>
      <c r="L292" t="str">
        <f>IFERROR(VLOOKUP(D292,Product_Master!$A$2:$F$13,2,FALSE),"")</f>
        <v>Wireless Headphones</v>
      </c>
      <c r="M292" t="str">
        <f>IFERROR(VLOOKUP(D292,Product_Master!$A$2:$F$13,3,FALSE),"")</f>
        <v>Electronics</v>
      </c>
      <c r="N292" s="4">
        <f t="shared" si="20"/>
        <v>14997</v>
      </c>
      <c r="O292" s="4">
        <f t="shared" si="21"/>
        <v>749.85</v>
      </c>
      <c r="P292" s="4">
        <f t="shared" si="22"/>
        <v>14247.15</v>
      </c>
      <c r="Q292" s="4">
        <f>G292*IFERROR(VLOOKUP(D292,Product_Master!$A$2:$F$13,6,FALSE),0)</f>
        <v>8700</v>
      </c>
      <c r="R292" s="4">
        <f t="shared" si="23"/>
        <v>5547.15</v>
      </c>
      <c r="S292" s="5">
        <f t="shared" si="24"/>
        <v>0.38935155452143061</v>
      </c>
    </row>
    <row r="293" spans="1:19" x14ac:dyDescent="0.3">
      <c r="A293" t="s">
        <v>344</v>
      </c>
      <c r="B293" s="2">
        <v>45785</v>
      </c>
      <c r="C293" t="s">
        <v>61</v>
      </c>
      <c r="D293" t="s">
        <v>43</v>
      </c>
      <c r="E293" t="str">
        <f>IFERROR(VLOOKUP(C293,Customer_Master!$A$2:$E$16,4,FALSE),"")</f>
        <v>South</v>
      </c>
      <c r="F293" t="str">
        <f>IFERROR(VLOOKUP(C293,Customer_Master!$A$2:$E$16,5,FALSE),"")</f>
        <v>Consumer</v>
      </c>
      <c r="G293">
        <v>3</v>
      </c>
      <c r="H293" s="3">
        <v>0.05</v>
      </c>
      <c r="I293" t="s">
        <v>26</v>
      </c>
      <c r="J293" t="s">
        <v>30</v>
      </c>
      <c r="K293" s="4">
        <f>IFERROR(VLOOKUP(D293,Product_Master!$A$2:$F$13,5,FALSE),0)</f>
        <v>8999</v>
      </c>
      <c r="L293" t="str">
        <f>IFERROR(VLOOKUP(D293,Product_Master!$A$2:$F$13,2,FALSE),"")</f>
        <v>Office Chair</v>
      </c>
      <c r="M293" t="str">
        <f>IFERROR(VLOOKUP(D293,Product_Master!$A$2:$F$13,3,FALSE),"")</f>
        <v>Furniture</v>
      </c>
      <c r="N293" s="4">
        <f t="shared" si="20"/>
        <v>26997</v>
      </c>
      <c r="O293" s="4">
        <f t="shared" si="21"/>
        <v>1349.8500000000001</v>
      </c>
      <c r="P293" s="4">
        <f t="shared" si="22"/>
        <v>25647.15</v>
      </c>
      <c r="Q293" s="4">
        <f>G293*IFERROR(VLOOKUP(D293,Product_Master!$A$2:$F$13,6,FALSE),0)</f>
        <v>18300</v>
      </c>
      <c r="R293" s="4">
        <f t="shared" si="23"/>
        <v>7347.1500000000015</v>
      </c>
      <c r="S293" s="5">
        <f t="shared" si="24"/>
        <v>0.28647042653862131</v>
      </c>
    </row>
    <row r="294" spans="1:19" x14ac:dyDescent="0.3">
      <c r="A294" t="s">
        <v>345</v>
      </c>
      <c r="B294" s="2">
        <v>45690</v>
      </c>
      <c r="C294" t="s">
        <v>74</v>
      </c>
      <c r="D294" t="s">
        <v>62</v>
      </c>
      <c r="E294" t="str">
        <f>IFERROR(VLOOKUP(C294,Customer_Master!$A$2:$E$16,4,FALSE),"")</f>
        <v>East</v>
      </c>
      <c r="F294" t="str">
        <f>IFERROR(VLOOKUP(C294,Customer_Master!$A$2:$E$16,5,FALSE),"")</f>
        <v>Consumer</v>
      </c>
      <c r="G294">
        <v>1</v>
      </c>
      <c r="H294" s="3">
        <v>0</v>
      </c>
      <c r="I294" t="s">
        <v>54</v>
      </c>
      <c r="J294" t="s">
        <v>23</v>
      </c>
      <c r="K294" s="4">
        <f>IFERROR(VLOOKUP(D294,Product_Master!$A$2:$F$13,5,FALSE),0)</f>
        <v>39999</v>
      </c>
      <c r="L294" t="str">
        <f>IFERROR(VLOOKUP(D294,Product_Master!$A$2:$F$13,2,FALSE),"")</f>
        <v>Smartphone X</v>
      </c>
      <c r="M294" t="str">
        <f>IFERROR(VLOOKUP(D294,Product_Master!$A$2:$F$13,3,FALSE),"")</f>
        <v>Electronics</v>
      </c>
      <c r="N294" s="4">
        <f t="shared" si="20"/>
        <v>39999</v>
      </c>
      <c r="O294" s="4">
        <f t="shared" si="21"/>
        <v>0</v>
      </c>
      <c r="P294" s="4">
        <f t="shared" si="22"/>
        <v>39999</v>
      </c>
      <c r="Q294" s="4">
        <f>G294*IFERROR(VLOOKUP(D294,Product_Master!$A$2:$F$13,6,FALSE),0)</f>
        <v>30000</v>
      </c>
      <c r="R294" s="4">
        <f t="shared" si="23"/>
        <v>9999</v>
      </c>
      <c r="S294" s="5">
        <f t="shared" si="24"/>
        <v>0.24998124953123829</v>
      </c>
    </row>
    <row r="295" spans="1:19" x14ac:dyDescent="0.3">
      <c r="A295" t="s">
        <v>346</v>
      </c>
      <c r="B295" s="2">
        <v>45920</v>
      </c>
      <c r="C295" t="s">
        <v>65</v>
      </c>
      <c r="D295" t="s">
        <v>33</v>
      </c>
      <c r="E295" t="str">
        <f>IFERROR(VLOOKUP(C295,Customer_Master!$A$2:$E$16,4,FALSE),"")</f>
        <v>Central</v>
      </c>
      <c r="F295" t="str">
        <f>IFERROR(VLOOKUP(C295,Customer_Master!$A$2:$E$16,5,FALSE),"")</f>
        <v>Consumer</v>
      </c>
      <c r="G295">
        <v>6</v>
      </c>
      <c r="H295" s="3">
        <v>0.1</v>
      </c>
      <c r="I295" t="s">
        <v>29</v>
      </c>
      <c r="J295" t="s">
        <v>23</v>
      </c>
      <c r="K295" s="4">
        <f>IFERROR(VLOOKUP(D295,Product_Master!$A$2:$F$13,5,FALSE),0)</f>
        <v>3999</v>
      </c>
      <c r="L295" t="str">
        <f>IFERROR(VLOOKUP(D295,Product_Master!$A$2:$F$13,2,FALSE),"")</f>
        <v>Mechanical Keyboard</v>
      </c>
      <c r="M295" t="str">
        <f>IFERROR(VLOOKUP(D295,Product_Master!$A$2:$F$13,3,FALSE),"")</f>
        <v>Accessories</v>
      </c>
      <c r="N295" s="4">
        <f t="shared" si="20"/>
        <v>23994</v>
      </c>
      <c r="O295" s="4">
        <f t="shared" si="21"/>
        <v>2399.4</v>
      </c>
      <c r="P295" s="4">
        <f t="shared" si="22"/>
        <v>21594.6</v>
      </c>
      <c r="Q295" s="4">
        <f>G295*IFERROR(VLOOKUP(D295,Product_Master!$A$2:$F$13,6,FALSE),0)</f>
        <v>14100</v>
      </c>
      <c r="R295" s="4">
        <f t="shared" si="23"/>
        <v>7494.5999999999985</v>
      </c>
      <c r="S295" s="5">
        <f t="shared" si="24"/>
        <v>0.34705898696896442</v>
      </c>
    </row>
    <row r="296" spans="1:19" x14ac:dyDescent="0.3">
      <c r="A296" t="s">
        <v>347</v>
      </c>
      <c r="B296" s="2">
        <v>45904</v>
      </c>
      <c r="C296" t="s">
        <v>37</v>
      </c>
      <c r="D296" t="s">
        <v>56</v>
      </c>
      <c r="E296" t="str">
        <f>IFERROR(VLOOKUP(C296,Customer_Master!$A$2:$E$16,4,FALSE),"")</f>
        <v>North</v>
      </c>
      <c r="F296" t="str">
        <f>IFERROR(VLOOKUP(C296,Customer_Master!$A$2:$E$16,5,FALSE),"")</f>
        <v>Consumer</v>
      </c>
      <c r="G296">
        <v>1</v>
      </c>
      <c r="H296" s="3">
        <v>0.05</v>
      </c>
      <c r="I296" t="s">
        <v>54</v>
      </c>
      <c r="J296" t="s">
        <v>23</v>
      </c>
      <c r="K296" s="4">
        <f>IFERROR(VLOOKUP(D296,Product_Master!$A$2:$F$13,5,FALSE),0)</f>
        <v>3499</v>
      </c>
      <c r="L296" t="str">
        <f>IFERROR(VLOOKUP(D296,Product_Master!$A$2:$F$13,2,FALSE),"")</f>
        <v>Bluetooth Speaker</v>
      </c>
      <c r="M296" t="str">
        <f>IFERROR(VLOOKUP(D296,Product_Master!$A$2:$F$13,3,FALSE),"")</f>
        <v>Electronics</v>
      </c>
      <c r="N296" s="4">
        <f t="shared" si="20"/>
        <v>3499</v>
      </c>
      <c r="O296" s="4">
        <f t="shared" si="21"/>
        <v>174.95000000000002</v>
      </c>
      <c r="P296" s="4">
        <f t="shared" si="22"/>
        <v>3324.05</v>
      </c>
      <c r="Q296" s="4">
        <f>G296*IFERROR(VLOOKUP(D296,Product_Master!$A$2:$F$13,6,FALSE),0)</f>
        <v>2050</v>
      </c>
      <c r="R296" s="4">
        <f t="shared" si="23"/>
        <v>1274.0500000000002</v>
      </c>
      <c r="S296" s="5">
        <f t="shared" si="24"/>
        <v>0.38328244159985564</v>
      </c>
    </row>
    <row r="297" spans="1:19" x14ac:dyDescent="0.3">
      <c r="A297" t="s">
        <v>348</v>
      </c>
      <c r="B297" s="2">
        <v>46013</v>
      </c>
      <c r="C297" t="s">
        <v>40</v>
      </c>
      <c r="D297" t="s">
        <v>52</v>
      </c>
      <c r="E297" t="str">
        <f>IFERROR(VLOOKUP(C297,Customer_Master!$A$2:$E$16,4,FALSE),"")</f>
        <v>West</v>
      </c>
      <c r="F297" t="str">
        <f>IFERROR(VLOOKUP(C297,Customer_Master!$A$2:$E$16,5,FALSE),"")</f>
        <v>Corporate</v>
      </c>
      <c r="G297">
        <v>4</v>
      </c>
      <c r="H297" s="3">
        <v>0.05</v>
      </c>
      <c r="I297" t="s">
        <v>54</v>
      </c>
      <c r="J297" t="s">
        <v>23</v>
      </c>
      <c r="K297" s="4">
        <f>IFERROR(VLOOKUP(D297,Product_Master!$A$2:$F$13,5,FALSE),0)</f>
        <v>6999</v>
      </c>
      <c r="L297" t="str">
        <f>IFERROR(VLOOKUP(D297,Product_Master!$A$2:$F$13,2,FALSE),"")</f>
        <v>Study Desk</v>
      </c>
      <c r="M297" t="str">
        <f>IFERROR(VLOOKUP(D297,Product_Master!$A$2:$F$13,3,FALSE),"")</f>
        <v>Furniture</v>
      </c>
      <c r="N297" s="4">
        <f t="shared" si="20"/>
        <v>27996</v>
      </c>
      <c r="O297" s="4">
        <f t="shared" si="21"/>
        <v>1399.8000000000002</v>
      </c>
      <c r="P297" s="4">
        <f t="shared" si="22"/>
        <v>26596.2</v>
      </c>
      <c r="Q297" s="4">
        <f>G297*IFERROR(VLOOKUP(D297,Product_Master!$A$2:$F$13,6,FALSE),0)</f>
        <v>18000</v>
      </c>
      <c r="R297" s="4">
        <f t="shared" si="23"/>
        <v>8596.2000000000007</v>
      </c>
      <c r="S297" s="5">
        <f t="shared" si="24"/>
        <v>0.3232115866176371</v>
      </c>
    </row>
    <row r="298" spans="1:19" x14ac:dyDescent="0.3">
      <c r="A298" t="s">
        <v>349</v>
      </c>
      <c r="B298" s="2">
        <v>45825</v>
      </c>
      <c r="C298" t="s">
        <v>74</v>
      </c>
      <c r="D298" t="s">
        <v>43</v>
      </c>
      <c r="E298" t="str">
        <f>IFERROR(VLOOKUP(C298,Customer_Master!$A$2:$E$16,4,FALSE),"")</f>
        <v>East</v>
      </c>
      <c r="F298" t="str">
        <f>IFERROR(VLOOKUP(C298,Customer_Master!$A$2:$E$16,5,FALSE),"")</f>
        <v>Consumer</v>
      </c>
      <c r="G298">
        <v>2</v>
      </c>
      <c r="H298" s="3">
        <v>0.05</v>
      </c>
      <c r="I298" t="s">
        <v>26</v>
      </c>
      <c r="J298" t="s">
        <v>30</v>
      </c>
      <c r="K298" s="4">
        <f>IFERROR(VLOOKUP(D298,Product_Master!$A$2:$F$13,5,FALSE),0)</f>
        <v>8999</v>
      </c>
      <c r="L298" t="str">
        <f>IFERROR(VLOOKUP(D298,Product_Master!$A$2:$F$13,2,FALSE),"")</f>
        <v>Office Chair</v>
      </c>
      <c r="M298" t="str">
        <f>IFERROR(VLOOKUP(D298,Product_Master!$A$2:$F$13,3,FALSE),"")</f>
        <v>Furniture</v>
      </c>
      <c r="N298" s="4">
        <f t="shared" si="20"/>
        <v>17998</v>
      </c>
      <c r="O298" s="4">
        <f t="shared" si="21"/>
        <v>899.90000000000009</v>
      </c>
      <c r="P298" s="4">
        <f t="shared" si="22"/>
        <v>17098.099999999999</v>
      </c>
      <c r="Q298" s="4">
        <f>G298*IFERROR(VLOOKUP(D298,Product_Master!$A$2:$F$13,6,FALSE),0)</f>
        <v>12200</v>
      </c>
      <c r="R298" s="4">
        <f t="shared" si="23"/>
        <v>4898.0999999999985</v>
      </c>
      <c r="S298" s="5">
        <f t="shared" si="24"/>
        <v>0.2864704265386212</v>
      </c>
    </row>
    <row r="299" spans="1:19" x14ac:dyDescent="0.3">
      <c r="A299" t="s">
        <v>350</v>
      </c>
      <c r="B299" s="2">
        <v>45948</v>
      </c>
      <c r="C299" t="s">
        <v>65</v>
      </c>
      <c r="D299" t="s">
        <v>62</v>
      </c>
      <c r="E299" t="str">
        <f>IFERROR(VLOOKUP(C299,Customer_Master!$A$2:$E$16,4,FALSE),"")</f>
        <v>Central</v>
      </c>
      <c r="F299" t="str">
        <f>IFERROR(VLOOKUP(C299,Customer_Master!$A$2:$E$16,5,FALSE),"")</f>
        <v>Consumer</v>
      </c>
      <c r="G299">
        <v>4</v>
      </c>
      <c r="H299" s="3">
        <v>0.05</v>
      </c>
      <c r="I299" t="s">
        <v>22</v>
      </c>
      <c r="J299" t="s">
        <v>23</v>
      </c>
      <c r="K299" s="4">
        <f>IFERROR(VLOOKUP(D299,Product_Master!$A$2:$F$13,5,FALSE),0)</f>
        <v>39999</v>
      </c>
      <c r="L299" t="str">
        <f>IFERROR(VLOOKUP(D299,Product_Master!$A$2:$F$13,2,FALSE),"")</f>
        <v>Smartphone X</v>
      </c>
      <c r="M299" t="str">
        <f>IFERROR(VLOOKUP(D299,Product_Master!$A$2:$F$13,3,FALSE),"")</f>
        <v>Electronics</v>
      </c>
      <c r="N299" s="4">
        <f t="shared" si="20"/>
        <v>159996</v>
      </c>
      <c r="O299" s="4">
        <f t="shared" si="21"/>
        <v>7999.8</v>
      </c>
      <c r="P299" s="4">
        <f t="shared" si="22"/>
        <v>151996.20000000001</v>
      </c>
      <c r="Q299" s="4">
        <f>G299*IFERROR(VLOOKUP(D299,Product_Master!$A$2:$F$13,6,FALSE),0)</f>
        <v>120000</v>
      </c>
      <c r="R299" s="4">
        <f t="shared" si="23"/>
        <v>31996.200000000012</v>
      </c>
      <c r="S299" s="5">
        <f t="shared" si="24"/>
        <v>0.21050657845393508</v>
      </c>
    </row>
    <row r="300" spans="1:19" x14ac:dyDescent="0.3">
      <c r="A300" t="s">
        <v>351</v>
      </c>
      <c r="B300" s="2">
        <v>45722</v>
      </c>
      <c r="C300" t="s">
        <v>47</v>
      </c>
      <c r="D300" t="s">
        <v>62</v>
      </c>
      <c r="E300" t="str">
        <f>IFERROR(VLOOKUP(C300,Customer_Master!$A$2:$E$16,4,FALSE),"")</f>
        <v>West</v>
      </c>
      <c r="F300" t="str">
        <f>IFERROR(VLOOKUP(C300,Customer_Master!$A$2:$E$16,5,FALSE),"")</f>
        <v>Corporate</v>
      </c>
      <c r="G300">
        <v>2</v>
      </c>
      <c r="H300" s="3">
        <v>0.1</v>
      </c>
      <c r="I300" t="s">
        <v>22</v>
      </c>
      <c r="J300" t="s">
        <v>23</v>
      </c>
      <c r="K300" s="4">
        <f>IFERROR(VLOOKUP(D300,Product_Master!$A$2:$F$13,5,FALSE),0)</f>
        <v>39999</v>
      </c>
      <c r="L300" t="str">
        <f>IFERROR(VLOOKUP(D300,Product_Master!$A$2:$F$13,2,FALSE),"")</f>
        <v>Smartphone X</v>
      </c>
      <c r="M300" t="str">
        <f>IFERROR(VLOOKUP(D300,Product_Master!$A$2:$F$13,3,FALSE),"")</f>
        <v>Electronics</v>
      </c>
      <c r="N300" s="4">
        <f t="shared" si="20"/>
        <v>79998</v>
      </c>
      <c r="O300" s="4">
        <f t="shared" si="21"/>
        <v>7999.8</v>
      </c>
      <c r="P300" s="4">
        <f t="shared" si="22"/>
        <v>71998.2</v>
      </c>
      <c r="Q300" s="4">
        <f>G300*IFERROR(VLOOKUP(D300,Product_Master!$A$2:$F$13,6,FALSE),0)</f>
        <v>60000</v>
      </c>
      <c r="R300" s="4">
        <f t="shared" si="23"/>
        <v>11998.199999999997</v>
      </c>
      <c r="S300" s="5">
        <f t="shared" si="24"/>
        <v>0.16664583281248693</v>
      </c>
    </row>
    <row r="301" spans="1:19" x14ac:dyDescent="0.3">
      <c r="A301" t="s">
        <v>352</v>
      </c>
      <c r="B301" s="2">
        <v>45752</v>
      </c>
      <c r="C301" t="s">
        <v>61</v>
      </c>
      <c r="D301" t="s">
        <v>43</v>
      </c>
      <c r="E301" t="str">
        <f>IFERROR(VLOOKUP(C301,Customer_Master!$A$2:$E$16,4,FALSE),"")</f>
        <v>South</v>
      </c>
      <c r="F301" t="str">
        <f>IFERROR(VLOOKUP(C301,Customer_Master!$A$2:$E$16,5,FALSE),"")</f>
        <v>Consumer</v>
      </c>
      <c r="G301">
        <v>1</v>
      </c>
      <c r="H301" s="3">
        <v>0.1</v>
      </c>
      <c r="I301" t="s">
        <v>22</v>
      </c>
      <c r="J301" t="s">
        <v>23</v>
      </c>
      <c r="K301" s="4">
        <f>IFERROR(VLOOKUP(D301,Product_Master!$A$2:$F$13,5,FALSE),0)</f>
        <v>8999</v>
      </c>
      <c r="L301" t="str">
        <f>IFERROR(VLOOKUP(D301,Product_Master!$A$2:$F$13,2,FALSE),"")</f>
        <v>Office Chair</v>
      </c>
      <c r="M301" t="str">
        <f>IFERROR(VLOOKUP(D301,Product_Master!$A$2:$F$13,3,FALSE),"")</f>
        <v>Furniture</v>
      </c>
      <c r="N301" s="4">
        <f t="shared" si="20"/>
        <v>8999</v>
      </c>
      <c r="O301" s="4">
        <f t="shared" si="21"/>
        <v>899.90000000000009</v>
      </c>
      <c r="P301" s="4">
        <f t="shared" si="22"/>
        <v>8099.1</v>
      </c>
      <c r="Q301" s="4">
        <f>G301*IFERROR(VLOOKUP(D301,Product_Master!$A$2:$F$13,6,FALSE),0)</f>
        <v>6100</v>
      </c>
      <c r="R301" s="4">
        <f t="shared" si="23"/>
        <v>1999.1000000000004</v>
      </c>
      <c r="S301" s="5">
        <f t="shared" si="24"/>
        <v>0.2468298946796558</v>
      </c>
    </row>
  </sheetData>
  <conditionalFormatting sqref="R2:R3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4" width="22" customWidth="1"/>
    <col min="5" max="6" width="12" customWidth="1"/>
  </cols>
  <sheetData>
    <row r="1" spans="1:6" x14ac:dyDescent="0.3">
      <c r="A1" s="1" t="s">
        <v>3</v>
      </c>
      <c r="B1" s="1" t="s">
        <v>353</v>
      </c>
      <c r="C1" s="1" t="s">
        <v>12</v>
      </c>
      <c r="D1" s="1" t="s">
        <v>354</v>
      </c>
      <c r="E1" s="1" t="s">
        <v>10</v>
      </c>
      <c r="F1" s="1" t="s">
        <v>355</v>
      </c>
    </row>
    <row r="2" spans="1:6" x14ac:dyDescent="0.3">
      <c r="A2" t="s">
        <v>38</v>
      </c>
      <c r="B2" t="s">
        <v>356</v>
      </c>
      <c r="C2" t="s">
        <v>357</v>
      </c>
      <c r="D2" t="s">
        <v>358</v>
      </c>
      <c r="E2">
        <v>74999</v>
      </c>
      <c r="F2">
        <v>58500</v>
      </c>
    </row>
    <row r="3" spans="1:6" x14ac:dyDescent="0.3">
      <c r="A3" t="s">
        <v>48</v>
      </c>
      <c r="B3" t="s">
        <v>359</v>
      </c>
      <c r="C3" t="s">
        <v>357</v>
      </c>
      <c r="D3" t="s">
        <v>358</v>
      </c>
      <c r="E3">
        <v>62999</v>
      </c>
      <c r="F3">
        <v>49000</v>
      </c>
    </row>
    <row r="4" spans="1:6" x14ac:dyDescent="0.3">
      <c r="A4" t="s">
        <v>62</v>
      </c>
      <c r="B4" t="s">
        <v>360</v>
      </c>
      <c r="C4" t="s">
        <v>357</v>
      </c>
      <c r="D4" t="s">
        <v>361</v>
      </c>
      <c r="E4">
        <v>39999</v>
      </c>
      <c r="F4">
        <v>30000</v>
      </c>
    </row>
    <row r="5" spans="1:6" x14ac:dyDescent="0.3">
      <c r="A5" t="s">
        <v>41</v>
      </c>
      <c r="B5" t="s">
        <v>362</v>
      </c>
      <c r="C5" t="s">
        <v>357</v>
      </c>
      <c r="D5" t="s">
        <v>361</v>
      </c>
      <c r="E5">
        <v>24999</v>
      </c>
      <c r="F5">
        <v>18500</v>
      </c>
    </row>
    <row r="6" spans="1:6" x14ac:dyDescent="0.3">
      <c r="A6" t="s">
        <v>28</v>
      </c>
      <c r="B6" t="s">
        <v>363</v>
      </c>
      <c r="C6" t="s">
        <v>357</v>
      </c>
      <c r="D6" t="s">
        <v>364</v>
      </c>
      <c r="E6">
        <v>28999</v>
      </c>
      <c r="F6">
        <v>21500</v>
      </c>
    </row>
    <row r="7" spans="1:6" x14ac:dyDescent="0.3">
      <c r="A7" t="s">
        <v>92</v>
      </c>
      <c r="B7" t="s">
        <v>365</v>
      </c>
      <c r="C7" t="s">
        <v>357</v>
      </c>
      <c r="D7" t="s">
        <v>366</v>
      </c>
      <c r="E7">
        <v>4999</v>
      </c>
      <c r="F7">
        <v>2900</v>
      </c>
    </row>
    <row r="8" spans="1:6" x14ac:dyDescent="0.3">
      <c r="A8" t="s">
        <v>56</v>
      </c>
      <c r="B8" t="s">
        <v>367</v>
      </c>
      <c r="C8" t="s">
        <v>357</v>
      </c>
      <c r="D8" t="s">
        <v>366</v>
      </c>
      <c r="E8">
        <v>3499</v>
      </c>
      <c r="F8">
        <v>2050</v>
      </c>
    </row>
    <row r="9" spans="1:6" x14ac:dyDescent="0.3">
      <c r="A9" t="s">
        <v>33</v>
      </c>
      <c r="B9" t="s">
        <v>368</v>
      </c>
      <c r="C9" t="s">
        <v>369</v>
      </c>
      <c r="D9" t="s">
        <v>370</v>
      </c>
      <c r="E9">
        <v>3999</v>
      </c>
      <c r="F9">
        <v>2350</v>
      </c>
    </row>
    <row r="10" spans="1:6" x14ac:dyDescent="0.3">
      <c r="A10" t="s">
        <v>21</v>
      </c>
      <c r="B10" t="s">
        <v>371</v>
      </c>
      <c r="C10" t="s">
        <v>369</v>
      </c>
      <c r="D10" t="s">
        <v>370</v>
      </c>
      <c r="E10">
        <v>1499</v>
      </c>
      <c r="F10">
        <v>750</v>
      </c>
    </row>
    <row r="11" spans="1:6" x14ac:dyDescent="0.3">
      <c r="A11" t="s">
        <v>70</v>
      </c>
      <c r="B11" t="s">
        <v>372</v>
      </c>
      <c r="C11" t="s">
        <v>369</v>
      </c>
      <c r="D11" t="s">
        <v>370</v>
      </c>
      <c r="E11">
        <v>2499</v>
      </c>
      <c r="F11">
        <v>1450</v>
      </c>
    </row>
    <row r="12" spans="1:6" x14ac:dyDescent="0.3">
      <c r="A12" t="s">
        <v>43</v>
      </c>
      <c r="B12" t="s">
        <v>373</v>
      </c>
      <c r="C12" t="s">
        <v>374</v>
      </c>
      <c r="D12" t="s">
        <v>375</v>
      </c>
      <c r="E12">
        <v>8999</v>
      </c>
      <c r="F12">
        <v>6100</v>
      </c>
    </row>
    <row r="13" spans="1:6" x14ac:dyDescent="0.3">
      <c r="A13" t="s">
        <v>52</v>
      </c>
      <c r="B13" t="s">
        <v>376</v>
      </c>
      <c r="C13" t="s">
        <v>374</v>
      </c>
      <c r="D13" t="s">
        <v>375</v>
      </c>
      <c r="E13">
        <v>6999</v>
      </c>
      <c r="F13">
        <v>4500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  <col min="3" max="3" width="13" customWidth="1"/>
    <col min="4" max="4" width="12" customWidth="1"/>
    <col min="5" max="5" width="16" customWidth="1"/>
  </cols>
  <sheetData>
    <row r="1" spans="1:5" x14ac:dyDescent="0.3">
      <c r="A1" s="1" t="s">
        <v>2</v>
      </c>
      <c r="B1" s="1" t="s">
        <v>377</v>
      </c>
      <c r="C1" s="1" t="s">
        <v>378</v>
      </c>
      <c r="D1" s="1" t="s">
        <v>4</v>
      </c>
      <c r="E1" s="1" t="s">
        <v>5</v>
      </c>
    </row>
    <row r="2" spans="1:5" x14ac:dyDescent="0.3">
      <c r="A2" t="s">
        <v>35</v>
      </c>
      <c r="B2" t="s">
        <v>379</v>
      </c>
      <c r="C2" t="s">
        <v>380</v>
      </c>
      <c r="D2" t="s">
        <v>381</v>
      </c>
      <c r="E2" t="s">
        <v>382</v>
      </c>
    </row>
    <row r="3" spans="1:5" x14ac:dyDescent="0.3">
      <c r="A3" t="s">
        <v>102</v>
      </c>
      <c r="B3" t="s">
        <v>383</v>
      </c>
      <c r="C3" t="s">
        <v>384</v>
      </c>
      <c r="D3" t="s">
        <v>385</v>
      </c>
      <c r="E3" t="s">
        <v>386</v>
      </c>
    </row>
    <row r="4" spans="1:5" x14ac:dyDescent="0.3">
      <c r="A4" t="s">
        <v>25</v>
      </c>
      <c r="B4" t="s">
        <v>387</v>
      </c>
      <c r="C4" t="s">
        <v>388</v>
      </c>
      <c r="D4" t="s">
        <v>389</v>
      </c>
      <c r="E4" t="s">
        <v>382</v>
      </c>
    </row>
    <row r="5" spans="1:5" x14ac:dyDescent="0.3">
      <c r="A5" t="s">
        <v>61</v>
      </c>
      <c r="B5" t="s">
        <v>390</v>
      </c>
      <c r="C5" t="s">
        <v>391</v>
      </c>
      <c r="D5" t="s">
        <v>389</v>
      </c>
      <c r="E5" t="s">
        <v>386</v>
      </c>
    </row>
    <row r="6" spans="1:5" x14ac:dyDescent="0.3">
      <c r="A6" t="s">
        <v>76</v>
      </c>
      <c r="B6" t="s">
        <v>392</v>
      </c>
      <c r="C6" t="s">
        <v>393</v>
      </c>
      <c r="D6" t="s">
        <v>385</v>
      </c>
      <c r="E6" t="s">
        <v>394</v>
      </c>
    </row>
    <row r="7" spans="1:5" x14ac:dyDescent="0.3">
      <c r="A7" t="s">
        <v>45</v>
      </c>
      <c r="B7" t="s">
        <v>395</v>
      </c>
      <c r="C7" t="s">
        <v>396</v>
      </c>
      <c r="D7" t="s">
        <v>381</v>
      </c>
      <c r="E7" t="s">
        <v>386</v>
      </c>
    </row>
    <row r="8" spans="1:5" x14ac:dyDescent="0.3">
      <c r="A8" t="s">
        <v>32</v>
      </c>
      <c r="B8" t="s">
        <v>397</v>
      </c>
      <c r="C8" t="s">
        <v>398</v>
      </c>
      <c r="D8" t="s">
        <v>399</v>
      </c>
      <c r="E8" t="s">
        <v>382</v>
      </c>
    </row>
    <row r="9" spans="1:5" x14ac:dyDescent="0.3">
      <c r="A9" t="s">
        <v>20</v>
      </c>
      <c r="B9" t="s">
        <v>400</v>
      </c>
      <c r="C9" t="s">
        <v>401</v>
      </c>
      <c r="D9" t="s">
        <v>389</v>
      </c>
      <c r="E9" t="s">
        <v>394</v>
      </c>
    </row>
    <row r="10" spans="1:5" x14ac:dyDescent="0.3">
      <c r="A10" t="s">
        <v>40</v>
      </c>
      <c r="B10" t="s">
        <v>402</v>
      </c>
      <c r="C10" t="s">
        <v>403</v>
      </c>
      <c r="D10" t="s">
        <v>385</v>
      </c>
      <c r="E10" t="s">
        <v>382</v>
      </c>
    </row>
    <row r="11" spans="1:5" x14ac:dyDescent="0.3">
      <c r="A11" t="s">
        <v>37</v>
      </c>
      <c r="B11" t="s">
        <v>404</v>
      </c>
      <c r="C11" t="s">
        <v>405</v>
      </c>
      <c r="D11" t="s">
        <v>381</v>
      </c>
      <c r="E11" t="s">
        <v>386</v>
      </c>
    </row>
    <row r="12" spans="1:5" x14ac:dyDescent="0.3">
      <c r="A12" t="s">
        <v>82</v>
      </c>
      <c r="B12" t="s">
        <v>406</v>
      </c>
      <c r="C12" t="s">
        <v>407</v>
      </c>
      <c r="D12" t="s">
        <v>408</v>
      </c>
      <c r="E12" t="s">
        <v>394</v>
      </c>
    </row>
    <row r="13" spans="1:5" x14ac:dyDescent="0.3">
      <c r="A13" t="s">
        <v>74</v>
      </c>
      <c r="B13" t="s">
        <v>409</v>
      </c>
      <c r="C13" t="s">
        <v>410</v>
      </c>
      <c r="D13" t="s">
        <v>399</v>
      </c>
      <c r="E13" t="s">
        <v>386</v>
      </c>
    </row>
    <row r="14" spans="1:5" x14ac:dyDescent="0.3">
      <c r="A14" t="s">
        <v>47</v>
      </c>
      <c r="B14" t="s">
        <v>411</v>
      </c>
      <c r="C14" t="s">
        <v>412</v>
      </c>
      <c r="D14" t="s">
        <v>385</v>
      </c>
      <c r="E14" t="s">
        <v>382</v>
      </c>
    </row>
    <row r="15" spans="1:5" x14ac:dyDescent="0.3">
      <c r="A15" t="s">
        <v>65</v>
      </c>
      <c r="B15" t="s">
        <v>413</v>
      </c>
      <c r="C15" t="s">
        <v>414</v>
      </c>
      <c r="D15" t="s">
        <v>408</v>
      </c>
      <c r="E15" t="s">
        <v>386</v>
      </c>
    </row>
    <row r="16" spans="1:5" x14ac:dyDescent="0.3">
      <c r="A16" t="s">
        <v>87</v>
      </c>
      <c r="B16" t="s">
        <v>415</v>
      </c>
      <c r="C16" t="s">
        <v>416</v>
      </c>
      <c r="D16" t="s">
        <v>399</v>
      </c>
      <c r="E16" t="s">
        <v>394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25" customWidth="1"/>
    <col min="5" max="5" width="12" customWidth="1"/>
    <col min="6" max="6" width="13" customWidth="1"/>
    <col min="7" max="9" width="25" customWidth="1"/>
    <col min="10" max="10" width="12" customWidth="1"/>
    <col min="11" max="11" width="16" customWidth="1"/>
    <col min="12" max="13" width="25" customWidth="1"/>
  </cols>
  <sheetData>
    <row r="1" spans="1:13" x14ac:dyDescent="0.3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418</v>
      </c>
    </row>
    <row r="4" spans="1:13" x14ac:dyDescent="0.3">
      <c r="A4" t="s">
        <v>4</v>
      </c>
      <c r="B4" t="s">
        <v>15</v>
      </c>
      <c r="C4" t="s">
        <v>17</v>
      </c>
      <c r="D4" t="s">
        <v>419</v>
      </c>
      <c r="F4" t="s">
        <v>12</v>
      </c>
      <c r="G4" t="s">
        <v>15</v>
      </c>
      <c r="H4" t="s">
        <v>17</v>
      </c>
      <c r="I4" t="s">
        <v>6</v>
      </c>
      <c r="K4" t="s">
        <v>5</v>
      </c>
      <c r="L4" t="s">
        <v>15</v>
      </c>
      <c r="M4" t="s">
        <v>419</v>
      </c>
    </row>
    <row r="5" spans="1:13" x14ac:dyDescent="0.3">
      <c r="A5" t="s">
        <v>381</v>
      </c>
      <c r="B5">
        <f>SUMIF(Sales_Data!E$2:E$301,A5,Sales_Data!P$2:P$301)</f>
        <v>4586100.8499999978</v>
      </c>
      <c r="C5">
        <f>SUMIF(Sales_Data!E$2:E$301,A5,Sales_Data!R$2:R$301)</f>
        <v>871800.85000000009</v>
      </c>
      <c r="D5">
        <f>COUNTIF(Sales_Data!E$2:E$301,A5)</f>
        <v>64</v>
      </c>
      <c r="F5" t="s">
        <v>357</v>
      </c>
      <c r="G5">
        <f>SUMIF(Sales_Data!M$2:M$301,F5,Sales_Data!P$2:P$301)</f>
        <v>16415648.799999997</v>
      </c>
      <c r="H5">
        <f>SUMIF(Sales_Data!M$2:M$301,F5,Sales_Data!R$2:R$301)</f>
        <v>3036598.8000000017</v>
      </c>
      <c r="I5">
        <f>SUMIF(Sales_Data!M$2:M$301,F5,Sales_Data!G$2:G$301)</f>
        <v>567</v>
      </c>
      <c r="K5" t="s">
        <v>386</v>
      </c>
      <c r="L5">
        <f>SUMIF(Sales_Data!F$2:F$301,K5,Sales_Data!P$2:P$301)</f>
        <v>6951307.950000002</v>
      </c>
      <c r="M5">
        <f>COUNTIF(Sales_Data!F$2:F$301,K5)</f>
        <v>111</v>
      </c>
    </row>
    <row r="6" spans="1:13" x14ac:dyDescent="0.3">
      <c r="A6" t="s">
        <v>389</v>
      </c>
      <c r="B6">
        <f>SUMIF(Sales_Data!E$2:E$301,A6,Sales_Data!P$2:P$301)</f>
        <v>3068657.2500000005</v>
      </c>
      <c r="C6">
        <f>SUMIF(Sales_Data!E$2:E$301,A6,Sales_Data!R$2:R$301)</f>
        <v>545257.24999999988</v>
      </c>
      <c r="D6">
        <f>COUNTIF(Sales_Data!E$2:E$301,A6)</f>
        <v>55</v>
      </c>
      <c r="F6" t="s">
        <v>369</v>
      </c>
      <c r="G6">
        <f>SUMIF(Sales_Data!M$2:M$301,F6,Sales_Data!P$2:P$301)</f>
        <v>761970.45</v>
      </c>
      <c r="H6">
        <f>SUMIF(Sales_Data!M$2:M$301,F6,Sales_Data!R$2:R$301)</f>
        <v>294120.45000000007</v>
      </c>
      <c r="I6">
        <f>SUMIF(Sales_Data!M$2:M$301,F6,Sales_Data!G$2:G$301)</f>
        <v>303</v>
      </c>
      <c r="K6" t="s">
        <v>382</v>
      </c>
      <c r="L6">
        <f>SUMIF(Sales_Data!F$2:F$301,K6,Sales_Data!P$2:P$301)</f>
        <v>6050606.4000000004</v>
      </c>
      <c r="M6">
        <f>COUNTIF(Sales_Data!F$2:F$301,K6)</f>
        <v>103</v>
      </c>
    </row>
    <row r="7" spans="1:13" x14ac:dyDescent="0.3">
      <c r="A7" t="s">
        <v>399</v>
      </c>
      <c r="B7">
        <f>SUMIF(Sales_Data!E$2:E$301,A7,Sales_Data!P$2:P$301)</f>
        <v>3871319.8500000006</v>
      </c>
      <c r="C7">
        <f>SUMIF(Sales_Data!E$2:E$301,A7,Sales_Data!R$2:R$301)</f>
        <v>847919.85</v>
      </c>
      <c r="D7">
        <f>COUNTIF(Sales_Data!E$2:E$301,A7)</f>
        <v>64</v>
      </c>
      <c r="F7" t="s">
        <v>374</v>
      </c>
      <c r="G7">
        <f>SUMIF(Sales_Data!M$2:M$301,F7,Sales_Data!P$2:P$301)</f>
        <v>1384583.9500000002</v>
      </c>
      <c r="H7">
        <f>SUMIF(Sales_Data!M$2:M$301,F7,Sales_Data!R$2:R$301)</f>
        <v>393183.95</v>
      </c>
      <c r="I7">
        <f>SUMIF(Sales_Data!M$2:M$301,F7,Sales_Data!G$2:G$301)</f>
        <v>178</v>
      </c>
      <c r="K7" t="s">
        <v>394</v>
      </c>
      <c r="L7">
        <f>SUMIF(Sales_Data!F$2:F$301,K7,Sales_Data!P$2:P$301)</f>
        <v>5560288.8500000006</v>
      </c>
      <c r="M7">
        <f>COUNTIF(Sales_Data!F$2:F$301,K7)</f>
        <v>86</v>
      </c>
    </row>
    <row r="8" spans="1:13" x14ac:dyDescent="0.3">
      <c r="A8" t="s">
        <v>385</v>
      </c>
      <c r="B8">
        <f>SUMIF(Sales_Data!E$2:E$301,A8,Sales_Data!P$2:P$301)</f>
        <v>4961082.6000000006</v>
      </c>
      <c r="C8">
        <f>SUMIF(Sales_Data!E$2:E$301,A8,Sales_Data!R$2:R$301)</f>
        <v>1044682.6</v>
      </c>
      <c r="D8">
        <f>COUNTIF(Sales_Data!E$2:E$301,A8)</f>
        <v>79</v>
      </c>
    </row>
    <row r="9" spans="1:13" x14ac:dyDescent="0.3">
      <c r="A9" t="s">
        <v>408</v>
      </c>
      <c r="B9">
        <f>SUMIF(Sales_Data!E$2:E$301,A9,Sales_Data!P$2:P$301)</f>
        <v>2075042.65</v>
      </c>
      <c r="C9">
        <f>SUMIF(Sales_Data!E$2:E$301,A9,Sales_Data!R$2:R$301)</f>
        <v>414242.65000000008</v>
      </c>
      <c r="D9">
        <f>COUNTIF(Sales_Data!E$2:E$301,A9)</f>
        <v>38</v>
      </c>
    </row>
    <row r="12" spans="1:13" x14ac:dyDescent="0.3">
      <c r="A12" t="s">
        <v>420</v>
      </c>
      <c r="B12" t="s">
        <v>15</v>
      </c>
      <c r="C12" t="s">
        <v>17</v>
      </c>
    </row>
    <row r="13" spans="1:13" x14ac:dyDescent="0.3">
      <c r="A13" t="s">
        <v>421</v>
      </c>
      <c r="B13">
        <f>SUMIFS(Sales_Data!P$2:P$301,Sales_Data!B$2:B$301,"&gt;="&amp;DATE(2025,1,1),Sales_Data!B$2:B$301,"&lt;"&amp;DATE(2025,2,1))</f>
        <v>1427704.65</v>
      </c>
      <c r="C13">
        <f>SUMIFS(Sales_Data!R$2:R$301,Sales_Data!B$2:B$301,"&gt;="&amp;DATE(2025,1,1),Sales_Data!B$2:B$301,"&lt;"&amp;DATE(2025,2,1))</f>
        <v>289204.65000000002</v>
      </c>
    </row>
    <row r="14" spans="1:13" x14ac:dyDescent="0.3">
      <c r="A14" t="s">
        <v>422</v>
      </c>
      <c r="B14">
        <f>SUMIFS(Sales_Data!P$2:P$301,Sales_Data!B$2:B$301,"&gt;="&amp;DATE(2025,2,1),Sales_Data!B$2:B$301,"&lt;"&amp;DATE(2025,3,1))</f>
        <v>1673143.7500000002</v>
      </c>
      <c r="C14">
        <f>SUMIFS(Sales_Data!R$2:R$301,Sales_Data!B$2:B$301,"&gt;="&amp;DATE(2025,2,1),Sales_Data!B$2:B$301,"&lt;"&amp;DATE(2025,3,1))</f>
        <v>347043.75</v>
      </c>
    </row>
    <row r="15" spans="1:13" x14ac:dyDescent="0.3">
      <c r="A15" t="s">
        <v>423</v>
      </c>
      <c r="B15">
        <f>SUMIFS(Sales_Data!P$2:P$301,Sales_Data!B$2:B$301,"&gt;="&amp;DATE(2025,3,1),Sales_Data!B$2:B$301,"&lt;"&amp;DATE(2025,4,1))</f>
        <v>923951.85</v>
      </c>
      <c r="C15">
        <f>SUMIFS(Sales_Data!R$2:R$301,Sales_Data!B$2:B$301,"&gt;="&amp;DATE(2025,3,1),Sales_Data!B$2:B$301,"&lt;"&amp;DATE(2025,4,1))</f>
        <v>186251.84999999998</v>
      </c>
    </row>
    <row r="16" spans="1:13" x14ac:dyDescent="0.3">
      <c r="A16" t="s">
        <v>424</v>
      </c>
      <c r="B16">
        <f>SUMIFS(Sales_Data!P$2:P$301,Sales_Data!B$2:B$301,"&gt;="&amp;DATE(2025,4,1),Sales_Data!B$2:B$301,"&lt;"&amp;DATE(2025,5,1))</f>
        <v>1419704.2000000002</v>
      </c>
      <c r="C16">
        <f>SUMIFS(Sales_Data!R$2:R$301,Sales_Data!B$2:B$301,"&gt;="&amp;DATE(2025,4,1),Sales_Data!B$2:B$301,"&lt;"&amp;DATE(2025,5,1))</f>
        <v>257504.20000000004</v>
      </c>
    </row>
    <row r="17" spans="1:3" x14ac:dyDescent="0.3">
      <c r="A17" t="s">
        <v>425</v>
      </c>
      <c r="B17">
        <f>SUMIFS(Sales_Data!P$2:P$301,Sales_Data!B$2:B$301,"&gt;="&amp;DATE(2025,5,1),Sales_Data!B$2:B$301,"&lt;"&amp;DATE(2025,6,1))</f>
        <v>1258862.5499999998</v>
      </c>
      <c r="C17">
        <f>SUMIFS(Sales_Data!R$2:R$301,Sales_Data!B$2:B$301,"&gt;="&amp;DATE(2025,5,1),Sales_Data!B$2:B$301,"&lt;"&amp;DATE(2025,6,1))</f>
        <v>288812.55000000005</v>
      </c>
    </row>
    <row r="18" spans="1:3" x14ac:dyDescent="0.3">
      <c r="A18" t="s">
        <v>426</v>
      </c>
      <c r="B18">
        <f>SUMIFS(Sales_Data!P$2:P$301,Sales_Data!B$2:B$301,"&gt;="&amp;DATE(2025,6,1),Sales_Data!B$2:B$301,"&lt;"&amp;DATE(2025,7,1))</f>
        <v>2624967.5499999998</v>
      </c>
      <c r="C18">
        <f>SUMIFS(Sales_Data!R$2:R$301,Sales_Data!B$2:B$301,"&gt;="&amp;DATE(2025,6,1),Sales_Data!B$2:B$301,"&lt;"&amp;DATE(2025,7,1))</f>
        <v>512717.55</v>
      </c>
    </row>
    <row r="19" spans="1:3" x14ac:dyDescent="0.3">
      <c r="A19" t="s">
        <v>427</v>
      </c>
      <c r="B19">
        <f>SUMIFS(Sales_Data!P$2:P$301,Sales_Data!B$2:B$301,"&gt;="&amp;DATE(2025,7,1),Sales_Data!B$2:B$301,"&lt;"&amp;DATE(2025,8,1))</f>
        <v>1516865.5</v>
      </c>
      <c r="C19">
        <f>SUMIFS(Sales_Data!R$2:R$301,Sales_Data!B$2:B$301,"&gt;="&amp;DATE(2025,7,1),Sales_Data!B$2:B$301,"&lt;"&amp;DATE(2025,8,1))</f>
        <v>291165.5</v>
      </c>
    </row>
    <row r="20" spans="1:3" x14ac:dyDescent="0.3">
      <c r="A20" t="s">
        <v>428</v>
      </c>
      <c r="B20">
        <f>SUMIFS(Sales_Data!P$2:P$301,Sales_Data!B$2:B$301,"&gt;="&amp;DATE(2025,8,1),Sales_Data!B$2:B$301,"&lt;"&amp;DATE(2025,9,1))</f>
        <v>2355041.85</v>
      </c>
      <c r="C20">
        <f>SUMIFS(Sales_Data!R$2:R$301,Sales_Data!B$2:B$301,"&gt;="&amp;DATE(2025,8,1),Sales_Data!B$2:B$301,"&lt;"&amp;DATE(2025,9,1))</f>
        <v>493391.85</v>
      </c>
    </row>
    <row r="21" spans="1:3" x14ac:dyDescent="0.3">
      <c r="A21" t="s">
        <v>429</v>
      </c>
      <c r="B21">
        <f>SUMIFS(Sales_Data!P$2:P$301,Sales_Data!B$2:B$301,"&gt;="&amp;DATE(2025,9,1),Sales_Data!B$2:B$301,"&lt;"&amp;DATE(2025,10,1))</f>
        <v>1312882.05</v>
      </c>
      <c r="C21">
        <f>SUMIFS(Sales_Data!R$2:R$301,Sales_Data!B$2:B$301,"&gt;="&amp;DATE(2025,9,1),Sales_Data!B$2:B$301,"&lt;"&amp;DATE(2025,10,1))</f>
        <v>215832.05000000002</v>
      </c>
    </row>
    <row r="22" spans="1:3" x14ac:dyDescent="0.3">
      <c r="A22" t="s">
        <v>430</v>
      </c>
      <c r="B22">
        <f>SUMIFS(Sales_Data!P$2:P$301,Sales_Data!B$2:B$301,"&gt;="&amp;DATE(2025,10,1),Sales_Data!B$2:B$301,"&lt;"&amp;DATE(2025,11,1))</f>
        <v>2031338.2000000002</v>
      </c>
      <c r="C22">
        <f>SUMIFS(Sales_Data!R$2:R$301,Sales_Data!B$2:B$301,"&gt;="&amp;DATE(2025,10,1),Sales_Data!B$2:B$301,"&lt;"&amp;DATE(2025,11,1))</f>
        <v>407388.2</v>
      </c>
    </row>
    <row r="23" spans="1:3" x14ac:dyDescent="0.3">
      <c r="A23" t="s">
        <v>431</v>
      </c>
      <c r="B23">
        <f>SUMIFS(Sales_Data!P$2:P$301,Sales_Data!B$2:B$301,"&gt;="&amp;DATE(2025,11,1),Sales_Data!B$2:B$301,"&lt;"&amp;DATE(2025,12,1))</f>
        <v>583257.79999999993</v>
      </c>
      <c r="C23">
        <f>SUMIFS(Sales_Data!R$2:R$301,Sales_Data!B$2:B$301,"&gt;="&amp;DATE(2025,11,1),Sales_Data!B$2:B$301,"&lt;"&amp;DATE(2025,12,1))</f>
        <v>115957.80000000002</v>
      </c>
    </row>
    <row r="24" spans="1:3" x14ac:dyDescent="0.3">
      <c r="A24" t="s">
        <v>432</v>
      </c>
      <c r="B24">
        <f>SUMIFS(Sales_Data!P$2:P$301,Sales_Data!B$2:B$301,"&gt;="&amp;DATE(2025,12,1),Sales_Data!B$2:B$301,"&lt;"&amp;DATE(2026,1,1))</f>
        <v>1434483.25</v>
      </c>
      <c r="C24">
        <f>SUMIFS(Sales_Data!R$2:R$301,Sales_Data!B$2:B$301,"&gt;="&amp;DATE(2025,12,1),Sales_Data!B$2:B$301,"&lt;"&amp;DATE(2026,1,1))</f>
        <v>318633.25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showGridLines="0" topLeftCell="A18" workbookViewId="0">
      <selection sqref="A1:L1"/>
    </sheetView>
  </sheetViews>
  <sheetFormatPr defaultRowHeight="14.4" x14ac:dyDescent="0.3"/>
  <cols>
    <col min="1" max="12" width="14" customWidth="1"/>
  </cols>
  <sheetData>
    <row r="1" spans="1:12" ht="25.8" x14ac:dyDescent="0.5">
      <c r="A1" s="12" t="s">
        <v>433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7" t="s">
        <v>434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3">
      <c r="A4" s="10" t="s">
        <v>435</v>
      </c>
      <c r="B4" s="10"/>
      <c r="C4" s="10"/>
      <c r="D4" s="10" t="s">
        <v>436</v>
      </c>
      <c r="E4" s="10"/>
      <c r="F4" s="10"/>
      <c r="G4" s="10" t="s">
        <v>437</v>
      </c>
      <c r="H4" s="10"/>
      <c r="I4" s="10"/>
      <c r="J4" s="10" t="s">
        <v>438</v>
      </c>
      <c r="K4" s="10"/>
      <c r="L4" s="10"/>
    </row>
    <row r="5" spans="1:12" x14ac:dyDescent="0.3">
      <c r="A5" s="11">
        <f>COUNTA(Sales_Data!A2:A301)</f>
        <v>300</v>
      </c>
      <c r="B5" s="10"/>
      <c r="C5" s="10"/>
      <c r="D5" s="9">
        <f>SUM(Sales_Data!P2:P301)</f>
        <v>18562203.199999999</v>
      </c>
      <c r="E5" s="10"/>
      <c r="F5" s="10"/>
      <c r="G5" s="9">
        <f>SUM(Sales_Data!R2:R301)</f>
        <v>3723903.2000000016</v>
      </c>
      <c r="H5" s="10"/>
      <c r="I5" s="10"/>
      <c r="J5" s="13">
        <f>IFERROR(G5/D5,0)</f>
        <v>0.20061752152352269</v>
      </c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9" spans="1:12" x14ac:dyDescent="0.3">
      <c r="A9" s="1" t="s">
        <v>4</v>
      </c>
      <c r="B9" s="1" t="s">
        <v>15</v>
      </c>
      <c r="D9" s="1" t="s">
        <v>12</v>
      </c>
      <c r="E9" s="1" t="s">
        <v>15</v>
      </c>
      <c r="G9" s="1" t="s">
        <v>420</v>
      </c>
      <c r="H9" s="1" t="s">
        <v>15</v>
      </c>
      <c r="I9" s="1" t="s">
        <v>17</v>
      </c>
      <c r="K9" s="1" t="s">
        <v>8</v>
      </c>
      <c r="L9" s="1" t="s">
        <v>419</v>
      </c>
    </row>
    <row r="10" spans="1:12" x14ac:dyDescent="0.3">
      <c r="A10" t="str">
        <f>Pivot_Analysis!A5</f>
        <v>North</v>
      </c>
      <c r="B10">
        <f>Pivot_Analysis!B5</f>
        <v>4586100.8499999978</v>
      </c>
      <c r="D10" t="str">
        <f>Pivot_Analysis!F5</f>
        <v>Electronics</v>
      </c>
      <c r="E10">
        <f>Pivot_Analysis!G5</f>
        <v>16415648.799999997</v>
      </c>
      <c r="G10" t="str">
        <f>Pivot_Analysis!A13</f>
        <v>Jan</v>
      </c>
      <c r="H10">
        <f>Pivot_Analysis!B13</f>
        <v>1427704.65</v>
      </c>
      <c r="I10">
        <f>Pivot_Analysis!C13</f>
        <v>289204.65000000002</v>
      </c>
      <c r="K10" t="s">
        <v>29</v>
      </c>
      <c r="L10">
        <f>COUNTIF(Sales_Data!I$2:I$301,K10)</f>
        <v>62</v>
      </c>
    </row>
    <row r="11" spans="1:12" x14ac:dyDescent="0.3">
      <c r="A11" t="str">
        <f>Pivot_Analysis!A6</f>
        <v>South</v>
      </c>
      <c r="B11">
        <f>Pivot_Analysis!B6</f>
        <v>3068657.2500000005</v>
      </c>
      <c r="D11" t="str">
        <f>Pivot_Analysis!F6</f>
        <v>Accessories</v>
      </c>
      <c r="E11">
        <f>Pivot_Analysis!G6</f>
        <v>761970.45</v>
      </c>
      <c r="G11" t="str">
        <f>Pivot_Analysis!A14</f>
        <v>Feb</v>
      </c>
      <c r="H11">
        <f>Pivot_Analysis!B14</f>
        <v>1673143.7500000002</v>
      </c>
      <c r="I11">
        <f>Pivot_Analysis!C14</f>
        <v>347043.75</v>
      </c>
      <c r="K11" t="s">
        <v>26</v>
      </c>
      <c r="L11">
        <f>COUNTIF(Sales_Data!I$2:I$301,K11)</f>
        <v>64</v>
      </c>
    </row>
    <row r="12" spans="1:12" x14ac:dyDescent="0.3">
      <c r="A12" t="str">
        <f>Pivot_Analysis!A7</f>
        <v>East</v>
      </c>
      <c r="B12">
        <f>Pivot_Analysis!B7</f>
        <v>3871319.8500000006</v>
      </c>
      <c r="D12" t="str">
        <f>Pivot_Analysis!F7</f>
        <v>Furniture</v>
      </c>
      <c r="E12">
        <f>Pivot_Analysis!G7</f>
        <v>1384583.9500000002</v>
      </c>
      <c r="G12" t="str">
        <f>Pivot_Analysis!A15</f>
        <v>Mar</v>
      </c>
      <c r="H12">
        <f>Pivot_Analysis!B15</f>
        <v>923951.85</v>
      </c>
      <c r="I12">
        <f>Pivot_Analysis!C15</f>
        <v>186251.84999999998</v>
      </c>
      <c r="K12" t="s">
        <v>54</v>
      </c>
      <c r="L12">
        <f>COUNTIF(Sales_Data!I$2:I$301,K12)</f>
        <v>58</v>
      </c>
    </row>
    <row r="13" spans="1:12" x14ac:dyDescent="0.3">
      <c r="A13" t="str">
        <f>Pivot_Analysis!A8</f>
        <v>West</v>
      </c>
      <c r="B13">
        <f>Pivot_Analysis!B8</f>
        <v>4961082.6000000006</v>
      </c>
      <c r="G13" t="str">
        <f>Pivot_Analysis!A16</f>
        <v>Apr</v>
      </c>
      <c r="H13">
        <f>Pivot_Analysis!B16</f>
        <v>1419704.2000000002</v>
      </c>
      <c r="I13">
        <f>Pivot_Analysis!C16</f>
        <v>257504.20000000004</v>
      </c>
      <c r="K13" t="s">
        <v>49</v>
      </c>
      <c r="L13">
        <f>COUNTIF(Sales_Data!I$2:I$301,K13)</f>
        <v>51</v>
      </c>
    </row>
    <row r="14" spans="1:12" x14ac:dyDescent="0.3">
      <c r="A14" t="str">
        <f>Pivot_Analysis!A9</f>
        <v>Central</v>
      </c>
      <c r="B14">
        <f>Pivot_Analysis!B9</f>
        <v>2075042.65</v>
      </c>
      <c r="G14" t="str">
        <f>Pivot_Analysis!A17</f>
        <v>May</v>
      </c>
      <c r="H14">
        <f>Pivot_Analysis!B17</f>
        <v>1258862.5499999998</v>
      </c>
      <c r="I14">
        <f>Pivot_Analysis!C17</f>
        <v>288812.55000000005</v>
      </c>
      <c r="K14" t="s">
        <v>22</v>
      </c>
      <c r="L14">
        <f>COUNTIF(Sales_Data!I$2:I$301,K14)</f>
        <v>65</v>
      </c>
    </row>
    <row r="15" spans="1:12" x14ac:dyDescent="0.3">
      <c r="G15" t="str">
        <f>Pivot_Analysis!A18</f>
        <v>Jun</v>
      </c>
      <c r="H15">
        <f>Pivot_Analysis!B18</f>
        <v>2624967.5499999998</v>
      </c>
      <c r="I15">
        <f>Pivot_Analysis!C18</f>
        <v>512717.55</v>
      </c>
    </row>
    <row r="16" spans="1:12" x14ac:dyDescent="0.3">
      <c r="G16" t="str">
        <f>Pivot_Analysis!A19</f>
        <v>Jul</v>
      </c>
      <c r="H16">
        <f>Pivot_Analysis!B19</f>
        <v>1516865.5</v>
      </c>
      <c r="I16">
        <f>Pivot_Analysis!C19</f>
        <v>291165.5</v>
      </c>
    </row>
    <row r="17" spans="7:9" x14ac:dyDescent="0.3">
      <c r="G17" t="str">
        <f>Pivot_Analysis!A20</f>
        <v>Aug</v>
      </c>
      <c r="H17">
        <f>Pivot_Analysis!B20</f>
        <v>2355041.85</v>
      </c>
      <c r="I17">
        <f>Pivot_Analysis!C20</f>
        <v>493391.85</v>
      </c>
    </row>
    <row r="18" spans="7:9" x14ac:dyDescent="0.3">
      <c r="G18" t="str">
        <f>Pivot_Analysis!A21</f>
        <v>Sep</v>
      </c>
      <c r="H18">
        <f>Pivot_Analysis!B21</f>
        <v>1312882.05</v>
      </c>
      <c r="I18">
        <f>Pivot_Analysis!C21</f>
        <v>215832.05000000002</v>
      </c>
    </row>
    <row r="19" spans="7:9" x14ac:dyDescent="0.3">
      <c r="G19" t="str">
        <f>Pivot_Analysis!A22</f>
        <v>Oct</v>
      </c>
      <c r="H19">
        <f>Pivot_Analysis!B22</f>
        <v>2031338.2000000002</v>
      </c>
      <c r="I19">
        <f>Pivot_Analysis!C22</f>
        <v>407388.2</v>
      </c>
    </row>
    <row r="20" spans="7:9" x14ac:dyDescent="0.3">
      <c r="G20" t="str">
        <f>Pivot_Analysis!A23</f>
        <v>Nov</v>
      </c>
      <c r="H20">
        <f>Pivot_Analysis!B23</f>
        <v>583257.79999999993</v>
      </c>
      <c r="I20">
        <f>Pivot_Analysis!C23</f>
        <v>115957.80000000002</v>
      </c>
    </row>
    <row r="21" spans="7:9" x14ac:dyDescent="0.3">
      <c r="G21" t="str">
        <f>Pivot_Analysis!A24</f>
        <v>Dec</v>
      </c>
      <c r="H21">
        <f>Pivot_Analysis!B24</f>
        <v>1434483.25</v>
      </c>
      <c r="I21">
        <f>Pivot_Analysis!C24</f>
        <v>318633.25</v>
      </c>
    </row>
  </sheetData>
  <mergeCells count="10">
    <mergeCell ref="A2:L2"/>
    <mergeCell ref="D5:F6"/>
    <mergeCell ref="A5:C6"/>
    <mergeCell ref="G5:I6"/>
    <mergeCell ref="A1:L1"/>
    <mergeCell ref="D4:F4"/>
    <mergeCell ref="J5:L6"/>
    <mergeCell ref="G4:I4"/>
    <mergeCell ref="J4:L4"/>
    <mergeCell ref="A4:C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RowHeight="14.4" x14ac:dyDescent="0.3"/>
  <cols>
    <col min="1" max="1" width="110" customWidth="1"/>
  </cols>
  <sheetData>
    <row r="1" spans="1:1" ht="23.4" x14ac:dyDescent="0.45">
      <c r="A1" s="6" t="s">
        <v>439</v>
      </c>
    </row>
    <row r="2" spans="1:1" x14ac:dyDescent="0.3">
      <c r="A2" t="s">
        <v>440</v>
      </c>
    </row>
    <row r="3" spans="1:1" x14ac:dyDescent="0.3">
      <c r="A3" t="s">
        <v>441</v>
      </c>
    </row>
    <row r="4" spans="1:1" x14ac:dyDescent="0.3">
      <c r="A4" t="s">
        <v>442</v>
      </c>
    </row>
    <row r="5" spans="1:1" x14ac:dyDescent="0.3">
      <c r="A5" t="s">
        <v>443</v>
      </c>
    </row>
    <row r="6" spans="1:1" x14ac:dyDescent="0.3">
      <c r="A6" t="s">
        <v>444</v>
      </c>
    </row>
    <row r="7" spans="1:1" x14ac:dyDescent="0.3">
      <c r="A7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Product_Master</vt:lpstr>
      <vt:lpstr>Customer_Master</vt:lpstr>
      <vt:lpstr>Pivot_Analysis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jangid</cp:lastModifiedBy>
  <dcterms:created xsi:type="dcterms:W3CDTF">2026-08-08T21:12:42Z</dcterms:created>
  <dcterms:modified xsi:type="dcterms:W3CDTF">2026-08-08T21:14:57Z</dcterms:modified>
</cp:coreProperties>
</file>